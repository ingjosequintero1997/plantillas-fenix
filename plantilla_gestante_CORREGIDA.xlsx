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22" customWidth="1" min="7" max="7"/>
    <col width="13" customWidth="1" min="8" max="8"/>
    <col width="13" customWidth="1" min="9" max="9"/>
    <col width="24" customWidth="1" min="10" max="10"/>
    <col width="20" customWidth="1" min="11" max="11"/>
    <col width="20" customWidth="1" min="12" max="12"/>
    <col width="29" customWidth="1" min="13" max="13"/>
    <col width="26" customWidth="1" min="14" max="14"/>
    <col width="13" customWidth="1" min="15" max="15"/>
    <col width="13" customWidth="1" min="16" max="16"/>
    <col width="35" customWidth="1" min="17" max="17"/>
    <col width="19" customWidth="1" min="18" max="18"/>
    <col width="13" customWidth="1" min="19" max="19"/>
    <col width="18" customWidth="1" min="20" max="20"/>
    <col width="15" customWidth="1" min="21" max="21"/>
    <col width="24" customWidth="1" min="22" max="22"/>
    <col width="13" customWidth="1" min="23" max="23"/>
    <col width="15" customWidth="1" min="24" max="24"/>
    <col width="22" customWidth="1" min="25" max="25"/>
    <col width="20" customWidth="1" min="26" max="26"/>
    <col width="14" customWidth="1" min="27" max="27"/>
    <col width="28" customWidth="1" min="28" max="28"/>
    <col width="23" customWidth="1" min="29" max="29"/>
    <col width="39" customWidth="1" min="30" max="30"/>
    <col width="13" customWidth="1" min="31" max="31"/>
    <col width="13" customWidth="1" min="32" max="32"/>
    <col width="21" customWidth="1" min="33" max="33"/>
    <col width="13" customWidth="1" min="34" max="34"/>
    <col width="27" customWidth="1" min="35" max="35"/>
    <col width="27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24" customWidth="1" min="43" max="43"/>
    <col width="13" customWidth="1" min="44" max="44"/>
    <col width="13" customWidth="1" min="45" max="45"/>
    <col width="13" customWidth="1" min="46" max="46"/>
    <col width="15" customWidth="1" min="47" max="47"/>
    <col width="35" customWidth="1" min="48" max="48"/>
    <col width="45" customWidth="1" min="49" max="49"/>
    <col width="45" customWidth="1" min="50" max="50"/>
    <col width="24" customWidth="1" min="51" max="51"/>
    <col width="20" customWidth="1" min="52" max="52"/>
    <col width="17" customWidth="1" min="53" max="53"/>
    <col width="32" customWidth="1" min="54" max="54"/>
    <col width="23" customWidth="1" min="55" max="55"/>
    <col width="17" customWidth="1" min="56" max="56"/>
    <col width="19" customWidth="1" min="57" max="57"/>
    <col width="20" customWidth="1" min="58" max="58"/>
    <col width="45" customWidth="1" min="59" max="59"/>
    <col width="34" customWidth="1" min="60" max="60"/>
    <col width="36" customWidth="1" min="61" max="61"/>
    <col width="27" customWidth="1" min="62" max="62"/>
    <col width="24" customWidth="1" min="63" max="63"/>
    <col width="45" customWidth="1" min="64" max="64"/>
    <col width="27" customWidth="1" min="65" max="65"/>
    <col width="45" customWidth="1" min="66" max="66"/>
    <col width="22" customWidth="1" min="67" max="67"/>
    <col width="25" customWidth="1" min="68" max="68"/>
    <col width="40" customWidth="1" min="69" max="69"/>
    <col width="42" customWidth="1" min="70" max="70"/>
    <col width="44" customWidth="1" min="71" max="71"/>
    <col width="41" customWidth="1" min="72" max="72"/>
    <col width="43" customWidth="1" min="73" max="73"/>
    <col width="45" customWidth="1" min="74" max="74"/>
    <col width="40" customWidth="1" min="75" max="75"/>
    <col width="42" customWidth="1" min="76" max="76"/>
    <col width="44" customWidth="1" min="77" max="77"/>
    <col width="45" customWidth="1" min="78" max="78"/>
    <col width="45" customWidth="1" min="79" max="79"/>
    <col width="45" customWidth="1" min="80" max="80"/>
    <col width="45" customWidth="1" min="81" max="81"/>
    <col width="45" customWidth="1" min="82" max="82"/>
    <col width="45" customWidth="1" min="83" max="83"/>
    <col width="45" customWidth="1" min="84" max="84"/>
    <col width="45" customWidth="1" min="85" max="85"/>
    <col width="45" customWidth="1" min="86" max="86"/>
    <col width="32" customWidth="1" min="87" max="87"/>
    <col width="36" customWidth="1" min="88" max="88"/>
    <col width="36" customWidth="1" min="89" max="89"/>
    <col width="45" customWidth="1" min="90" max="90"/>
    <col width="45" customWidth="1" min="91" max="91"/>
    <col width="34" customWidth="1" min="92" max="92"/>
    <col width="25" customWidth="1" min="93" max="93"/>
    <col width="34" customWidth="1" min="94" max="94"/>
    <col width="41" customWidth="1" min="95" max="95"/>
    <col width="41" customWidth="1" min="96" max="96"/>
    <col width="30" customWidth="1" min="97" max="97"/>
    <col width="23" customWidth="1" min="98" max="98"/>
    <col width="22" customWidth="1" min="99" max="99"/>
    <col width="21" customWidth="1" min="100" max="100"/>
    <col width="42" customWidth="1" min="101" max="101"/>
    <col width="45" customWidth="1" min="102" max="102"/>
    <col width="32" customWidth="1" min="103" max="103"/>
    <col width="24" customWidth="1" min="104" max="104"/>
    <col width="45" customWidth="1" min="105" max="105"/>
    <col width="43" customWidth="1" min="106" max="106"/>
    <col width="44" customWidth="1" min="107" max="107"/>
    <col width="28" customWidth="1" min="108" max="108"/>
    <col width="23" customWidth="1" min="109" max="109"/>
    <col width="32" customWidth="1" min="110" max="110"/>
    <col width="20" customWidth="1" min="111" max="111"/>
    <col width="33" customWidth="1" min="112" max="112"/>
    <col width="39" customWidth="1" min="113" max="113"/>
    <col width="45" customWidth="1" min="114" max="114"/>
    <col width="45" customWidth="1" min="115" max="115"/>
    <col width="38" customWidth="1" min="116" max="116"/>
    <col width="34" customWidth="1" min="117" max="117"/>
    <col width="39" customWidth="1" min="118" max="118"/>
    <col width="19" customWidth="1" min="119" max="119"/>
    <col width="45" customWidth="1" min="120" max="120"/>
    <col width="45" customWidth="1" min="121" max="121"/>
    <col width="45" customWidth="1" min="122" max="122"/>
    <col width="30" customWidth="1" min="123" max="123"/>
    <col width="45" customWidth="1" min="124" max="124"/>
    <col width="45" customWidth="1" min="125" max="125"/>
    <col width="20" customWidth="1" min="126" max="126"/>
    <col width="32" customWidth="1" min="127" max="127"/>
    <col width="38" customWidth="1" min="128" max="128"/>
    <col width="26" customWidth="1" min="129" max="129"/>
    <col width="23" customWidth="1" min="130" max="130"/>
    <col width="45" customWidth="1" min="131" max="131"/>
    <col width="20" customWidth="1" min="132" max="132"/>
    <col width="27" customWidth="1" min="133" max="133"/>
    <col width="20" customWidth="1" min="134" max="134"/>
    <col width="29" customWidth="1" min="135" max="135"/>
    <col width="20" customWidth="1" min="136" max="136"/>
    <col width="29" customWidth="1" min="137" max="137"/>
    <col width="20" customWidth="1" min="138" max="138"/>
    <col width="29" customWidth="1" min="139" max="139"/>
    <col width="20" customWidth="1" min="140" max="140"/>
    <col width="29" customWidth="1" min="141" max="141"/>
    <col width="20" customWidth="1" min="142" max="142"/>
    <col width="29" customWidth="1" min="143" max="143"/>
    <col width="20" customWidth="1" min="144" max="144"/>
    <col width="29" customWidth="1" min="145" max="145"/>
    <col width="20" customWidth="1" min="146" max="146"/>
    <col width="29" customWidth="1" min="147" max="147"/>
    <col width="20" customWidth="1" min="148" max="148"/>
    <col width="29" customWidth="1" min="149" max="149"/>
    <col width="39" customWidth="1" min="150" max="150"/>
    <col width="26" customWidth="1" min="151" max="151"/>
    <col width="26" customWidth="1" min="152" max="152"/>
    <col width="14" customWidth="1" min="153" max="153"/>
    <col width="15" customWidth="1" min="154" max="154"/>
    <col width="13" customWidth="1" min="155" max="155"/>
    <col width="13" customWidth="1" min="156" max="156"/>
    <col width="37" customWidth="1" min="157" max="157"/>
    <col width="37" customWidth="1" min="158" max="158"/>
    <col width="37" customWidth="1" min="159" max="159"/>
    <col width="27" customWidth="1" min="160" max="160"/>
    <col width="28" customWidth="1" min="161" max="161"/>
    <col width="38" customWidth="1" min="162" max="162"/>
    <col width="28" customWidth="1" min="163" max="163"/>
    <col width="17" customWidth="1" min="164" max="164"/>
    <col width="13" customWidth="1" min="165" max="165"/>
    <col width="23" customWidth="1" min="166" max="166"/>
    <col width="17" customWidth="1" min="167" max="167"/>
    <col width="17" customWidth="1" min="168" max="168"/>
    <col width="28" customWidth="1" min="169" max="169"/>
    <col width="21" customWidth="1" min="170" max="170"/>
    <col width="26" customWidth="1" min="171" max="171"/>
    <col width="34" customWidth="1" min="172" max="172"/>
    <col width="20" customWidth="1" min="173" max="173"/>
    <col width="14" customWidth="1" min="174" max="174"/>
    <col width="33" customWidth="1" min="175" max="175"/>
    <col width="21" customWidth="1" min="176" max="176"/>
    <col width="21" customWidth="1" min="177" max="177"/>
    <col width="24" customWidth="1" min="178" max="178"/>
    <col width="29" customWidth="1" min="179" max="179"/>
    <col width="33" customWidth="1" min="180" max="180"/>
    <col width="25" customWidth="1" min="181" max="181"/>
    <col width="23" customWidth="1" min="182" max="182"/>
    <col width="22" customWidth="1" min="183" max="183"/>
    <col width="30" customWidth="1" min="184" max="184"/>
    <col width="27" customWidth="1" min="185" max="185"/>
    <col width="20" customWidth="1" min="186" max="186"/>
    <col width="21" customWidth="1" min="187" max="187"/>
    <col width="20" customWidth="1" min="188" max="188"/>
    <col width="31" customWidth="1" min="189" max="189"/>
    <col width="21" customWidth="1" min="190" max="190"/>
    <col width="29" customWidth="1" min="191" max="191"/>
    <col width="33" customWidth="1" min="192" max="192"/>
    <col width="25" customWidth="1" min="193" max="193"/>
    <col width="23" customWidth="1" min="194" max="194"/>
    <col width="38" customWidth="1" min="195" max="195"/>
    <col width="32" customWidth="1" min="196" max="196"/>
    <col width="27" customWidth="1" min="197" max="197"/>
    <col width="22" customWidth="1" min="198" max="198"/>
    <col width="36" customWidth="1" min="199" max="199"/>
    <col width="31" customWidth="1" min="200" max="200"/>
    <col width="37" customWidth="1" min="201" max="201"/>
    <col width="23" customWidth="1" min="202" max="202"/>
    <col width="31" customWidth="1" min="203" max="203"/>
    <col width="13" customWidth="1" min="204" max="204"/>
    <col width="13" customWidth="1" min="205" max="205"/>
    <col width="13" customWidth="1" min="206" max="206"/>
    <col width="26" customWidth="1" min="207" max="207"/>
  </cols>
  <sheetData>
    <row r="1">
      <c r="A1" s="1" t="inlineStr">
        <is>
          <t>TIPO DE DOCUMENTO DE IDENTIDAD</t>
        </is>
      </c>
      <c r="B1" s="1" t="inlineStr">
        <is>
          <t>NO. DE IDENTIFICACION</t>
        </is>
      </c>
      <c r="C1" s="1" t="inlineStr">
        <is>
          <t>APELLIDO_1</t>
        </is>
      </c>
      <c r="D1" s="1" t="inlineStr">
        <is>
          <t>APELLIDO_2</t>
        </is>
      </c>
      <c r="E1" s="1" t="inlineStr">
        <is>
          <t>NOMBRE_1</t>
        </is>
      </c>
      <c r="F1" s="1" t="inlineStr">
        <is>
          <t>NOMBRE_2</t>
        </is>
      </c>
      <c r="G1" s="1" t="inlineStr">
        <is>
          <t>FECHA DE NACIMIENTO</t>
        </is>
      </c>
      <c r="H1" s="1" t="inlineStr">
        <is>
          <t>EDAD</t>
        </is>
      </c>
      <c r="I1" s="1" t="inlineStr">
        <is>
          <t>SEXO</t>
        </is>
      </c>
      <c r="J1" s="1" t="inlineStr">
        <is>
          <t>REGIMEN DE AFILIACION</t>
        </is>
      </c>
      <c r="K1" s="1" t="inlineStr">
        <is>
          <t>PERTENECIA ETNICA</t>
        </is>
      </c>
      <c r="L1" s="1" t="inlineStr">
        <is>
          <t>GRUPO POBLACIONAL</t>
        </is>
      </c>
      <c r="M1" s="1" t="inlineStr">
        <is>
          <t>DEPARTAMENTO DE RESIDENCIA</t>
        </is>
      </c>
      <c r="N1" s="1" t="inlineStr">
        <is>
          <t>MUNICIPIO DE RESIDENCIA</t>
        </is>
      </c>
      <c r="O1" s="1" t="inlineStr">
        <is>
          <t>ZONA</t>
        </is>
      </c>
      <c r="P1" s="1" t="inlineStr">
        <is>
          <t>ETNIA</t>
        </is>
      </c>
      <c r="Q1" s="1" t="inlineStr">
        <is>
          <t>ASENTAMIENTO/RANCHERIA/COMUNIDAD</t>
        </is>
      </c>
      <c r="R1" s="1" t="inlineStr">
        <is>
          <t>TELEFONO USUARIA</t>
        </is>
      </c>
      <c r="S1" s="1" t="inlineStr">
        <is>
          <t>DIRECCION</t>
        </is>
      </c>
      <c r="T1" s="1" t="inlineStr">
        <is>
          <t>NIVEL EDUCATIVO</t>
        </is>
      </c>
      <c r="U1" s="1" t="inlineStr">
        <is>
          <t>DISCAPACIDAD</t>
        </is>
      </c>
      <c r="V1" s="1" t="inlineStr">
        <is>
          <t>MUJER CABEZA DE HOGAR</t>
        </is>
      </c>
      <c r="W1" s="1" t="inlineStr">
        <is>
          <t>OCUPACION</t>
        </is>
      </c>
      <c r="X1" s="1" t="inlineStr">
        <is>
          <t>ESTADO CIVIL</t>
        </is>
      </c>
      <c r="Y1" s="1" t="inlineStr">
        <is>
          <t>CONTROL TRADICIONAL</t>
        </is>
      </c>
      <c r="Z1" s="1" t="inlineStr">
        <is>
          <t>GESTANTE RENUENTE</t>
        </is>
      </c>
      <c r="AA1" s="1" t="inlineStr">
        <is>
          <t>INASISTENTE</t>
        </is>
      </c>
      <c r="AB1" s="1" t="inlineStr">
        <is>
          <t>NOMBRE DE LA IPS PRIMARIA</t>
        </is>
      </c>
      <c r="AC1" s="1" t="inlineStr">
        <is>
          <t>FECHA DE DIAGNOSTICO</t>
        </is>
      </c>
      <c r="AD1" s="1" t="inlineStr">
        <is>
          <t>FECHA DE INGRESO AL CONTROL PRENATAL</t>
        </is>
      </c>
      <c r="AE1" s="1" t="inlineStr">
        <is>
          <t>FUM</t>
        </is>
      </c>
      <c r="AF1" s="1" t="inlineStr">
        <is>
          <t>FPP</t>
        </is>
      </c>
      <c r="AG1" s="1" t="inlineStr">
        <is>
          <t>DIAS PARA EL PARTO</t>
        </is>
      </c>
      <c r="AH1" s="1" t="inlineStr">
        <is>
          <t>ALARMA</t>
        </is>
      </c>
      <c r="AI1" s="1" t="inlineStr">
        <is>
          <t>EDAD GEST INICIO CONTROL</t>
        </is>
      </c>
      <c r="AJ1" s="1" t="inlineStr">
        <is>
          <t>TRIMESTRE INICIO CONTROL</t>
        </is>
      </c>
      <c r="AK1" s="1" t="inlineStr">
        <is>
          <t>G</t>
        </is>
      </c>
      <c r="AL1" s="1" t="inlineStr">
        <is>
          <t>P</t>
        </is>
      </c>
      <c r="AM1" s="1" t="inlineStr">
        <is>
          <t>C</t>
        </is>
      </c>
      <c r="AN1" s="1" t="inlineStr">
        <is>
          <t>A</t>
        </is>
      </c>
      <c r="AO1" s="1" t="inlineStr">
        <is>
          <t>M</t>
        </is>
      </c>
      <c r="AP1" s="1" t="inlineStr">
        <is>
          <t>V</t>
        </is>
      </c>
      <c r="AQ1" s="1" t="inlineStr">
        <is>
          <t>HIPERTENSION ARTERIAL</t>
        </is>
      </c>
      <c r="AR1" s="1" t="inlineStr">
        <is>
          <t>DIABETES</t>
        </is>
      </c>
      <c r="AS1" s="1" t="inlineStr">
        <is>
          <t>VIH</t>
        </is>
      </c>
      <c r="AT1" s="1" t="inlineStr">
        <is>
          <t>SIFILIS</t>
        </is>
      </c>
      <c r="AU1" s="1" t="inlineStr">
        <is>
          <t>TUBERCULOSIS</t>
        </is>
      </c>
      <c r="AV1" s="1" t="inlineStr">
        <is>
          <t>OTRAS CONDICIONES MEDICAS GRAVES</t>
        </is>
      </c>
      <c r="AW1" s="1" t="inlineStr">
        <is>
          <t>SI LA RESPUESTA ANTERIOR ES SI DESCRIBA LA OTRA CONDICION MEDICA GRAVE</t>
        </is>
      </c>
      <c r="AX1" s="1" t="inlineStr">
        <is>
          <t>ANTECEDENTES DE EVENTOS OBSTETRICOS DESFAVORABLES</t>
        </is>
      </c>
      <c r="AY1" s="1" t="inlineStr">
        <is>
          <t>PERIODO INTERGENESICO</t>
        </is>
      </c>
      <c r="AZ1" s="1" t="inlineStr">
        <is>
          <t>PESO INICIAL (KG)</t>
        </is>
      </c>
      <c r="BA1" s="1" t="inlineStr">
        <is>
          <t>TALLA (METROS)</t>
        </is>
      </c>
      <c r="BB1" s="1" t="inlineStr">
        <is>
          <t>INDICE DE MASA CORPORAL (IMC)</t>
        </is>
      </c>
      <c r="BC1" s="1" t="inlineStr">
        <is>
          <t>CLASIFICACION DE IMC</t>
        </is>
      </c>
      <c r="BD1" s="1" t="inlineStr">
        <is>
          <t>APOYO FAMILIAR</t>
        </is>
      </c>
      <c r="BE1" s="1" t="inlineStr">
        <is>
          <t>EMBARAZO DESEADO</t>
        </is>
      </c>
      <c r="BF1" s="1" t="inlineStr">
        <is>
          <t>HABITOS DE RIESGO</t>
        </is>
      </c>
      <c r="BG1" s="1" t="inlineStr">
        <is>
          <t>HA SIDO VICTIMA DE VIOLENCIA FISICA O PSICOLOGICA</t>
        </is>
      </c>
      <c r="BH1" s="1" t="inlineStr">
        <is>
          <t>HA SIDO VICTIMA DE ABUSO SEXUAL</t>
        </is>
      </c>
      <c r="BI1" s="1" t="inlineStr">
        <is>
          <t>SE IDENTIFICAN CAUSALES PARA IVE?</t>
        </is>
      </c>
      <c r="BJ1" s="1" t="inlineStr">
        <is>
          <t>CLASIFICACION DEL RIESGO</t>
        </is>
      </c>
      <c r="BK1" s="1" t="inlineStr">
        <is>
          <t>CAUSAS DE ALTO RIESGO</t>
        </is>
      </c>
      <c r="BL1" s="1" t="inlineStr">
        <is>
          <t>PUNTAJE DE CLASIFICACION SEGUN ESCALA DE HERRERA Y HURTADO</t>
        </is>
      </c>
      <c r="BM1" s="1" t="inlineStr">
        <is>
          <t>REMITIDA A ESPECIALISTA?</t>
        </is>
      </c>
      <c r="BN1" s="1" t="inlineStr">
        <is>
          <t>DESCRIBA CUAL(ES) ESPECIALISTAS LA HAN ATENDIDO</t>
        </is>
      </c>
      <c r="BO1" s="1" t="inlineStr">
        <is>
          <t>ASESORIA PRUEBA VIH</t>
        </is>
      </c>
      <c r="BP1" s="1" t="inlineStr">
        <is>
          <t>TRIMESTRE ASESORIA VIH</t>
        </is>
      </c>
      <c r="BQ1" s="1" t="inlineStr">
        <is>
          <t>FECHA TOMA PRUEBA VIH PRIMER TAMIZAJE</t>
        </is>
      </c>
      <c r="BR1" s="1" t="inlineStr">
        <is>
          <t>RESULTADO PRIMER TAMIZAJE PRUEBA DE VIH</t>
        </is>
      </c>
      <c r="BS1" s="1" t="inlineStr">
        <is>
          <t>TRIMESTRE TOMA PRUEBA VIH PRIMER TAMIZAJE</t>
        </is>
      </c>
      <c r="BT1" s="1" t="inlineStr">
        <is>
          <t>FECHA TOMA PRUEBA VIH SEGUNDO TAMIZAJE</t>
        </is>
      </c>
      <c r="BU1" s="1" t="inlineStr">
        <is>
          <t>RESULTADO SEGUNDO TAMIZAJE PRUEBA DE VIH</t>
        </is>
      </c>
      <c r="BV1" s="1" t="inlineStr">
        <is>
          <t>TRIMESTRE TOMA PRUEBA VIH SEGUNDO TAMIZAJE</t>
        </is>
      </c>
      <c r="BW1" s="1" t="inlineStr">
        <is>
          <t>FECHA TOMA PRUEBA VIH TERCER TAMIZAJE</t>
        </is>
      </c>
      <c r="BX1" s="1" t="inlineStr">
        <is>
          <t>RESULTADO TERCER TAMIZAJE PRUEBA DE VIH</t>
        </is>
      </c>
      <c r="BY1" s="1" t="inlineStr">
        <is>
          <t>TRIMESTRE TOMA PRUEBA VIH TERCER TAMIZAJE</t>
        </is>
      </c>
      <c r="BZ1" s="1" t="inlineStr">
        <is>
          <t>FECHA PRIMERA PRUEBA TREPONEMICA RAPIDA SIFILIS</t>
        </is>
      </c>
      <c r="CA1" s="1" t="inlineStr">
        <is>
          <t>RESULTADO PRIMERA PRUEBA TREPONEMICA RAPIDA SIFILIS</t>
        </is>
      </c>
      <c r="CB1" s="1" t="inlineStr">
        <is>
          <t>TRIMESTRE PRIMERA PRUEBA TREPONEMICA RAPIDA SIFILIS</t>
        </is>
      </c>
      <c r="CC1" s="1" t="inlineStr">
        <is>
          <t>FECHA SEGUNDA PRUEBA TREPONEMICA RAPIDA SIFILIS</t>
        </is>
      </c>
      <c r="CD1" s="1" t="inlineStr">
        <is>
          <t>RESULTADO SEGUNDA PRUEBA TREPONEMICA RAPIDA SIFILIS</t>
        </is>
      </c>
      <c r="CE1" s="1" t="inlineStr">
        <is>
          <t>TRIMESTRE SEGUNDA PRUEBA TREPONEMICA RAPIDA SIFILIS</t>
        </is>
      </c>
      <c r="CF1" s="1" t="inlineStr">
        <is>
          <t>FECHA TERCERA PRUEBA TREPONEMICA RAPIDA SIFILIS</t>
        </is>
      </c>
      <c r="CG1" s="1" t="inlineStr">
        <is>
          <t>RESULTADO TERCERA PRUEBA TREPONEMICA RAPIDA SIFILIS</t>
        </is>
      </c>
      <c r="CH1" s="1" t="inlineStr">
        <is>
          <t>TRIMESTRE TERCERA PRUEBA TREPONEMICA RAPIDA SIFILIS</t>
        </is>
      </c>
      <c r="CI1" s="1" t="inlineStr">
        <is>
          <t>FECHA TOMA SEGUNDA PRUEBA VIH</t>
        </is>
      </c>
      <c r="CJ1" s="1" t="inlineStr">
        <is>
          <t>RESULTADO TOMA SEGUNDA PRUEBA VIH</t>
        </is>
      </c>
      <c r="CK1" s="1" t="inlineStr">
        <is>
          <t>TRIMESTRE TOMA SEGUNDA PRUEBA VIH</t>
        </is>
      </c>
      <c r="CL1" s="1" t="inlineStr">
        <is>
          <t>FECHA PRUEBA CONFIRMATORIA SEGUN ALGORITMO</t>
        </is>
      </c>
      <c r="CM1" s="1" t="inlineStr">
        <is>
          <t>TRIMESTRE PRUEBA CONFIRMATORIA SEGUN ALGORITMO</t>
        </is>
      </c>
      <c r="CN1" s="1" t="inlineStr">
        <is>
          <t>FECHA DE DIAGNOSTICO DE SIFILIS</t>
        </is>
      </c>
      <c r="CO1" s="1" t="inlineStr">
        <is>
          <t>TRATAMIENTO INSTAURADO</t>
        </is>
      </c>
      <c r="CP1" s="1" t="inlineStr">
        <is>
          <t>FECHA DE INICIO DEL TRATAMIENTO</t>
        </is>
      </c>
      <c r="CQ1" s="1" t="inlineStr">
        <is>
          <t>FECHA DE SEGUNDA DOSIS DEL TRATAMIENTO</t>
        </is>
      </c>
      <c r="CR1" s="1" t="inlineStr">
        <is>
          <t>FECHA DE TERCERA DOSIS DEL TRATAMIENTO</t>
        </is>
      </c>
      <c r="CS1" s="1" t="inlineStr">
        <is>
          <t>FECHA DE TOMA DE UROCULTIVO</t>
        </is>
      </c>
      <c r="CT1" s="1" t="inlineStr">
        <is>
          <t>RESULTADO UROCULTIVO</t>
        </is>
      </c>
      <c r="CU1" s="1" t="inlineStr">
        <is>
          <t>FECHA TOMA GLICEMIA</t>
        </is>
      </c>
      <c r="CV1" s="1" t="inlineStr">
        <is>
          <t>RESULTADO GLICEMIA</t>
        </is>
      </c>
      <c r="CW1" s="1" t="inlineStr">
        <is>
          <t>FECHA PRUEBA DE TOLERANCIA ORAL GLUCOSA</t>
        </is>
      </c>
      <c r="CX1" s="1" t="inlineStr">
        <is>
          <t>RESULTADO PRUEBA DE TOLERANCIA ORAL GLUCOSA</t>
        </is>
      </c>
      <c r="CY1" s="1" t="inlineStr">
        <is>
          <t>FECHA REALIZACION HEMOGLOBINA</t>
        </is>
      </c>
      <c r="CZ1" s="1" t="inlineStr">
        <is>
          <t>RESULTADO HEMOGLOBINA</t>
        </is>
      </c>
      <c r="DA1" s="1" t="inlineStr">
        <is>
          <t>RESULTADO REALIZACION HEMOCLASIFICACION (FACTOR RH)</t>
        </is>
      </c>
      <c r="DB1" s="1" t="inlineStr">
        <is>
          <t>FECHA DE ANTIGENO SUPERFICIE HEPATITIS B</t>
        </is>
      </c>
      <c r="DC1" s="1" t="inlineStr">
        <is>
          <t>RESULTADO ANTIGENO SUPERFICIE HEPATITIS B</t>
        </is>
      </c>
      <c r="DD1" s="1" t="inlineStr">
        <is>
          <t>FECHA TAMIZAJE TOXOPLASMA</t>
        </is>
      </c>
      <c r="DE1" s="1" t="inlineStr">
        <is>
          <t>RESULTADO TOXOPLASMA</t>
        </is>
      </c>
      <c r="DF1" s="1" t="inlineStr">
        <is>
          <t>FECHA DE LA PRUEBA DE RUBEOLA</t>
        </is>
      </c>
      <c r="DG1" s="1" t="inlineStr">
        <is>
          <t>RESULTADO RUBEOLA</t>
        </is>
      </c>
      <c r="DH1" s="1" t="inlineStr">
        <is>
          <t>FECHA CITOLOGIA CERVICOUTERINA</t>
        </is>
      </c>
      <c r="DI1" s="1" t="inlineStr">
        <is>
          <t>RESULTADO TAMIZAJE DE CUELLO UTERINO</t>
        </is>
      </c>
      <c r="DJ1" s="1" t="inlineStr">
        <is>
          <t>FECHA PRUEBA DE TAMIZAJE PARA ESTREPTOCOCO GRUPO B</t>
        </is>
      </c>
      <c r="DK1" s="1" t="inlineStr">
        <is>
          <t>RESULTADO PRUEBA DE TAMIZAJE PARA ESTREPTOCOCO GRUPO B</t>
        </is>
      </c>
      <c r="DL1" s="1" t="inlineStr">
        <is>
          <t>FECHA TOMA DE GOTA GRUESA (MALARIA)</t>
        </is>
      </c>
      <c r="DM1" s="1" t="inlineStr">
        <is>
          <t>RESULTADO GOTA GRUESA (MALARIA)</t>
        </is>
      </c>
      <c r="DN1" s="1" t="inlineStr">
        <is>
          <t>FECHA DE REALIZACION TAMIZAJE CHAGAS</t>
        </is>
      </c>
      <c r="DO1" s="1" t="inlineStr">
        <is>
          <t>RESULTADO CHAGAS</t>
        </is>
      </c>
      <c r="DP1" s="1" t="inlineStr">
        <is>
          <t>FECHA DE APLICACION INFLUENZA (DESDE SEMANA 14)</t>
        </is>
      </c>
      <c r="DQ1" s="1" t="inlineStr">
        <is>
          <t>FECHA DE APLICACION TOXOIDE SEGUN ANTECEDENTE VACUNAL</t>
        </is>
      </c>
      <c r="DR1" s="1" t="inlineStr">
        <is>
          <t>FECHA DE APLICACION DPT ACELULAR (SEMANA 26)</t>
        </is>
      </c>
      <c r="DS1" s="1" t="inlineStr">
        <is>
          <t>FECHA CONSULTA ODONTOLOGICA</t>
        </is>
      </c>
      <c r="DT1" s="1" t="inlineStr">
        <is>
          <t>ECOGRAFIA OBSTETRICA CON TRANSLUCENCIA NUCAL (10,6 - 13,6)</t>
        </is>
      </c>
      <c r="DU1" s="1" t="inlineStr">
        <is>
          <t>ECOGRAFIA OBSTETRICA PARA LA DETECCION DE ANOMALIAS ESTRUCTURALES (18 - 23)</t>
        </is>
      </c>
      <c r="DV1" s="1" t="inlineStr">
        <is>
          <t>OTRAS ECOGRAFIAS?</t>
        </is>
      </c>
      <c r="DW1" s="1" t="inlineStr">
        <is>
          <t>FECHA SUMINISTRO ACIDO FOLICO</t>
        </is>
      </c>
      <c r="DX1" s="1" t="inlineStr">
        <is>
          <t>FECHA SUMINISTRO CALCIO (SEMANA 14)</t>
        </is>
      </c>
      <c r="DY1" s="1" t="inlineStr">
        <is>
          <t>FECHA SUMINISTRO HIERRO</t>
        </is>
      </c>
      <c r="DZ1" s="1" t="inlineStr">
        <is>
          <t>FECHA SUMINISTRO ASA</t>
        </is>
      </c>
      <c r="EA1" s="1" t="inlineStr">
        <is>
          <t>FECHA DESPARASITACION ANTIHELMINTICA II Y III TRIMESTRE (ALBENDAZO 400 MG DOSIS UNICA)</t>
        </is>
      </c>
      <c r="EB1" s="1" t="inlineStr">
        <is>
          <t>FECHA 1ER CONTROL</t>
        </is>
      </c>
      <c r="EC1" s="1" t="inlineStr">
        <is>
          <t>QUIEN REALIZO EL CONTROL</t>
        </is>
      </c>
      <c r="ED1" s="1" t="inlineStr">
        <is>
          <t>FECHA 2DO CONTROL</t>
        </is>
      </c>
      <c r="EE1" s="1" t="inlineStr">
        <is>
          <t>QUIEN REALIZO EL CONTROL_2</t>
        </is>
      </c>
      <c r="EF1" s="1" t="inlineStr">
        <is>
          <t>FECHA 3ER CONTROL</t>
        </is>
      </c>
      <c r="EG1" s="1" t="inlineStr">
        <is>
          <t>QUIEN REALIZO EL CONTROL_3</t>
        </is>
      </c>
      <c r="EH1" s="1" t="inlineStr">
        <is>
          <t>FECHA 4TO CONTROL</t>
        </is>
      </c>
      <c r="EI1" s="1" t="inlineStr">
        <is>
          <t>QUIEN REALIZO EL CONTROL_4</t>
        </is>
      </c>
      <c r="EJ1" s="1" t="inlineStr">
        <is>
          <t>FECHA 5TO CONTROL</t>
        </is>
      </c>
      <c r="EK1" s="1" t="inlineStr">
        <is>
          <t>QUIEN REALIZO EL CONTROL_5</t>
        </is>
      </c>
      <c r="EL1" s="1" t="inlineStr">
        <is>
          <t>FECHA 6TO CONTROL</t>
        </is>
      </c>
      <c r="EM1" s="1" t="inlineStr">
        <is>
          <t>QUIEN REALIZO EL CONTROL_6</t>
        </is>
      </c>
      <c r="EN1" s="1" t="inlineStr">
        <is>
          <t>FECHA 7MO CONTROL</t>
        </is>
      </c>
      <c r="EO1" s="1" t="inlineStr">
        <is>
          <t>QUIEN REALIZO EL CONTROL_7</t>
        </is>
      </c>
      <c r="EP1" s="1" t="inlineStr">
        <is>
          <t>FECHA 8VO CONTROL</t>
        </is>
      </c>
      <c r="EQ1" s="1" t="inlineStr">
        <is>
          <t>QUIEN REALIZO EL CONTROL_8</t>
        </is>
      </c>
      <c r="ER1" s="1" t="inlineStr">
        <is>
          <t>FECHA 9NO CONTROL</t>
        </is>
      </c>
      <c r="ES1" s="1" t="inlineStr">
        <is>
          <t>QUIEN REALIZO EL CONTROL_9</t>
        </is>
      </c>
      <c r="ET1" s="1" t="inlineStr">
        <is>
          <t>NUMERO TOTAL DE CONTROLES PRENATALES</t>
        </is>
      </c>
      <c r="EU1" s="1" t="inlineStr">
        <is>
          <t>ULTIMO CONTROL PRENATAL</t>
        </is>
      </c>
      <c r="EV1" s="1" t="inlineStr">
        <is>
          <t>EDAD GESTACIONAL ACTUAL</t>
        </is>
      </c>
      <c r="EW1" s="1" t="inlineStr">
        <is>
          <t>PESO ACTUAL</t>
        </is>
      </c>
      <c r="EX1" s="1" t="inlineStr">
        <is>
          <t>TALLA ACTUAL</t>
        </is>
      </c>
      <c r="EY1" s="1" t="inlineStr">
        <is>
          <t>IMC</t>
        </is>
      </c>
      <c r="EZ1" s="1" t="inlineStr">
        <is>
          <t>TA ACTUAL</t>
        </is>
      </c>
      <c r="FA1" s="1" t="inlineStr">
        <is>
          <t>FECHA PRIMERA CONSULTA GINECOLOGIA</t>
        </is>
      </c>
      <c r="FB1" s="1" t="inlineStr">
        <is>
          <t>FECHA SEGUNDA CONSULTA GINECOLOGIA</t>
        </is>
      </c>
      <c r="FC1" s="1" t="inlineStr">
        <is>
          <t>FECHA TERCERA CONSULTA GINECOLOGIA</t>
        </is>
      </c>
      <c r="FD1" s="1" t="inlineStr">
        <is>
          <t>FECHA CONSULTA NUTRICION</t>
        </is>
      </c>
      <c r="FE1" s="1" t="inlineStr">
        <is>
          <t>FECHA CONSULTA PSICOLOGIA</t>
        </is>
      </c>
      <c r="FF1" s="1" t="inlineStr">
        <is>
          <t>FECHA DE ATENCION OTRO ESPECIALISTA</t>
        </is>
      </c>
      <c r="FG1" s="1" t="inlineStr">
        <is>
          <t>QUIEN REALIZO LA CONSULTA</t>
        </is>
      </c>
      <c r="FH1" s="1" t="inlineStr">
        <is>
          <t>TIPO DE ABORTO</t>
        </is>
      </c>
      <c r="FI1" s="1" t="inlineStr">
        <is>
          <t>FECHA</t>
        </is>
      </c>
      <c r="FJ1" s="1" t="inlineStr">
        <is>
          <t>SEMANAS DE GESTACION</t>
        </is>
      </c>
      <c r="FK1" s="1" t="inlineStr">
        <is>
          <t>COMPLICACIONES</t>
        </is>
      </c>
      <c r="FL1" s="1" t="inlineStr">
        <is>
          <t>FECHA DE PARTO</t>
        </is>
      </c>
      <c r="FM1" s="1" t="inlineStr">
        <is>
          <t>CARACTERISTICAS DEL PARTO</t>
        </is>
      </c>
      <c r="FN1" s="1" t="inlineStr">
        <is>
          <t>PARTO ATENDIDO POR</t>
        </is>
      </c>
      <c r="FO1" s="1" t="inlineStr">
        <is>
          <t>NO.SEMANAS DE GESTACION</t>
        </is>
      </c>
      <c r="FP1" s="1" t="inlineStr">
        <is>
          <t>COMPLICACIONES DURANTE EL PARTO</t>
        </is>
      </c>
      <c r="FQ1" s="1" t="inlineStr">
        <is>
          <t>TIPO COMPLICACION</t>
        </is>
      </c>
      <c r="FR1" s="1" t="inlineStr">
        <is>
          <t>UCI MATERNA</t>
        </is>
      </c>
      <c r="FS1" s="1" t="inlineStr">
        <is>
          <t>TOMA DE PRUEBAS ITS INTRAPARTO</t>
        </is>
      </c>
      <c r="FT1" s="1" t="inlineStr">
        <is>
          <t>RESULTADO POSITIVO</t>
        </is>
      </c>
      <c r="FU1" s="1" t="inlineStr">
        <is>
          <t>FECHA DE DEFUNCION</t>
        </is>
      </c>
      <c r="FV1" s="1" t="inlineStr">
        <is>
          <t>CAUSA DE LA DEFUNCION</t>
        </is>
      </c>
      <c r="FW1" s="1" t="inlineStr">
        <is>
          <t>MULTIPLICIDAD DEL EMBARAZO</t>
        </is>
      </c>
      <c r="FX1" s="1" t="inlineStr">
        <is>
          <t>REGISTRO CIVIL RECIEN NACIDO 1</t>
        </is>
      </c>
      <c r="FY1" s="1" t="inlineStr">
        <is>
          <t>NOMBRE RECIEN NACIDO 1</t>
        </is>
      </c>
      <c r="FZ1" s="1" t="inlineStr">
        <is>
          <t>SEXO RECIEN NACIDO 1</t>
        </is>
      </c>
      <c r="GA1" s="1" t="inlineStr">
        <is>
          <t>PESO AL NACER (GRS)</t>
        </is>
      </c>
      <c r="GB1" s="1" t="inlineStr">
        <is>
          <t>CONDICION DEL RECIEN NACIDO</t>
        </is>
      </c>
      <c r="GC1" s="1" t="inlineStr">
        <is>
          <t>TOMA TSH RECIEN NACIDO 1</t>
        </is>
      </c>
      <c r="GD1" s="1" t="inlineStr">
        <is>
          <t>DX HIPOTIROIDISMO</t>
        </is>
      </c>
      <c r="GE1" s="1" t="inlineStr">
        <is>
          <t>TTO HIPOTIROIDISMO</t>
        </is>
      </c>
      <c r="GF1" s="1" t="inlineStr">
        <is>
          <t>TIEMPO DE LECTURA</t>
        </is>
      </c>
      <c r="GG1" s="1" t="inlineStr">
        <is>
          <t>UCI NEONATAL RECIEN NACIDO 1</t>
        </is>
      </c>
      <c r="GH1" s="1" t="inlineStr">
        <is>
          <t>VACUNACION CON BCG</t>
        </is>
      </c>
      <c r="GI1" s="1" t="inlineStr">
        <is>
          <t>VACUNACION ANTIHEPATITIS B</t>
        </is>
      </c>
      <c r="GJ1" s="1" t="inlineStr">
        <is>
          <t>REGISTRO CIVIL RECIEN NACIDO 2</t>
        </is>
      </c>
      <c r="GK1" s="1" t="inlineStr">
        <is>
          <t>NOMBRE RECIEN NACIDO 2</t>
        </is>
      </c>
      <c r="GL1" s="1" t="inlineStr">
        <is>
          <t>SEXO RECIEN NACIDO 2</t>
        </is>
      </c>
      <c r="GM1" s="1" t="inlineStr">
        <is>
          <t>PESO AL NACER RECIEN NACIDO 2 (GRS)</t>
        </is>
      </c>
      <c r="GN1" s="1" t="inlineStr">
        <is>
          <t>CONDICION DEL RECIEN NACIDO_2</t>
        </is>
      </c>
      <c r="GO1" s="1" t="inlineStr">
        <is>
          <t>TOMA TSH RECIEN NACIDO 2</t>
        </is>
      </c>
      <c r="GP1" s="1" t="inlineStr">
        <is>
          <t>DX HIPOTIROIDISMO_2</t>
        </is>
      </c>
      <c r="GQ1" s="1" t="inlineStr">
        <is>
          <t>TIEMPO DE LECTURA RECIEN NACIDO 2</t>
        </is>
      </c>
      <c r="GR1" s="1" t="inlineStr">
        <is>
          <t>UCI NEONATAL RECIEN NACIDO 2</t>
        </is>
      </c>
      <c r="GS1" s="1" t="inlineStr">
        <is>
          <t>TTO HIPOTIROIDISMO RECIEN NACIDO 2</t>
        </is>
      </c>
      <c r="GT1" s="1" t="inlineStr">
        <is>
          <t>VACUNACION CON BCG_2</t>
        </is>
      </c>
      <c r="GU1" s="1" t="inlineStr">
        <is>
          <t>VACUNACION ANTIHEPATITIS B_2</t>
        </is>
      </c>
      <c r="GV1" s="1" t="inlineStr">
        <is>
          <t>TIPO</t>
        </is>
      </c>
      <c r="GW1" s="1" t="inlineStr">
        <is>
          <t>OBSEVACION</t>
        </is>
      </c>
      <c r="GX1" s="1" t="inlineStr">
        <is>
          <t>FECHA_2</t>
        </is>
      </c>
      <c r="GY1" s="1" t="inlineStr">
        <is>
          <t>OBSERVACIONES GENERALES</t>
        </is>
      </c>
    </row>
    <row r="2">
      <c r="A2" s="2" t="inlineStr">
        <is>
          <t>CC</t>
        </is>
      </c>
      <c r="B2" s="2" t="inlineStr">
        <is>
          <t>1121296900</t>
        </is>
      </c>
      <c r="C2" s="2" t="inlineStr">
        <is>
          <t>SIERRA</t>
        </is>
      </c>
      <c r="D2" s="2" t="inlineStr">
        <is>
          <t>SERRANO</t>
        </is>
      </c>
      <c r="E2" s="2" t="inlineStr">
        <is>
          <t>MARIA</t>
        </is>
      </c>
      <c r="F2" s="2" t="inlineStr">
        <is>
          <t>DE LOS ANGELES</t>
        </is>
      </c>
      <c r="G2" s="3" t="n">
        <v>36787</v>
      </c>
      <c r="H2" s="4">
        <f>IFERROR(IF(G2="",0,DATEDIF(G2,TODAY(),"Y")),0)</f>
        <v/>
      </c>
      <c r="I2" s="2" t="inlineStr">
        <is>
          <t>FEMENINO</t>
        </is>
      </c>
      <c r="J2" s="2" t="inlineStr">
        <is>
          <t>SUBSIDIADO</t>
        </is>
      </c>
      <c r="K2" s="2" t="inlineStr">
        <is>
          <t>NINGUNAS DE LAS ANTERIORES</t>
        </is>
      </c>
      <c r="L2" s="2" t="inlineStr">
        <is>
          <t>Mujer Embarazada</t>
        </is>
      </c>
      <c r="M2" s="2" t="inlineStr">
        <is>
          <t>LA GUAJIRA</t>
        </is>
      </c>
      <c r="N2" s="2" t="n">
        <v>44035</v>
      </c>
      <c r="O2" s="2" t="inlineStr">
        <is>
          <t>RURAL</t>
        </is>
      </c>
      <c r="P2" s="2" t="inlineStr">
        <is>
          <t>SIN ETNIA</t>
        </is>
      </c>
      <c r="Q2" s="2" t="inlineStr">
        <is>
          <t>LA HORQUETA</t>
        </is>
      </c>
      <c r="R2" s="2" t="inlineStr">
        <is>
          <t>3154057766</t>
        </is>
      </c>
      <c r="S2" s="2" t="inlineStr">
        <is>
          <t>LA HORQUETA</t>
        </is>
      </c>
      <c r="T2" s="2" t="inlineStr">
        <is>
          <t>basica primaria</t>
        </is>
      </c>
      <c r="U2" s="2" t="inlineStr">
        <is>
          <t>NO</t>
        </is>
      </c>
      <c r="V2" s="2" t="inlineStr">
        <is>
          <t>NO</t>
        </is>
      </c>
      <c r="W2" s="2" t="inlineStr">
        <is>
          <t>AMA DE CASA</t>
        </is>
      </c>
      <c r="X2" s="2" t="inlineStr">
        <is>
          <t>UNION LIBRE</t>
        </is>
      </c>
      <c r="Y2" s="2" t="inlineStr">
        <is>
          <t>NO APLICA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E.S.E HOSPITAL SAN RAFAEL DE ALBANIA</t>
        </is>
      </c>
      <c r="AC2" s="3" t="n">
        <v>46000</v>
      </c>
      <c r="AD2" s="3" t="n">
        <v>46000</v>
      </c>
      <c r="AE2" s="3" t="n">
        <v>45866</v>
      </c>
      <c r="AF2" s="5">
        <f>IFERROR(IF(AE2="","1845-01-01",AE2+280),"1845-01-01")</f>
        <v/>
      </c>
      <c r="AG2" s="4">
        <f>IFERROR(IF(AF2="",0,AF2-TODAY()),0)</f>
        <v/>
      </c>
      <c r="AH2" s="6">
        <f>IFERROR(IF(AG2="","SIN DATO",IF(AG2&lt;0,"Nacido",IF(AG2&lt;=7,"Semana de parto",IF(AG2&lt;=28,"Menos 4 sem","Pendiente")))),"SIN DATO")</f>
        <v/>
      </c>
      <c r="AI2" s="7">
        <f>IFERROR(IF(OR(AE2="",AD2=""),0,DATEDIF(AE2,AD2,"D")/7),0)</f>
        <v/>
      </c>
      <c r="AJ2" s="6">
        <f>IFERROR(IF(AI2="","SIN DATO",IF(AI2&lt;14,"1 Trim",IF(AI2&lt;28,"2 Trim","3 Trim"))),"SIN DATO")</f>
        <v/>
      </c>
      <c r="AK2" s="2" t="n">
        <v>1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inlineStr">
        <is>
          <t>NO</t>
        </is>
      </c>
      <c r="AR2" s="2" t="inlineStr">
        <is>
          <t>NO</t>
        </is>
      </c>
      <c r="AS2" s="2" t="inlineStr">
        <is>
          <t>No</t>
        </is>
      </c>
      <c r="AT2" s="2" t="inlineStr">
        <is>
          <t>No</t>
        </is>
      </c>
      <c r="AU2" s="2" t="inlineStr">
        <is>
          <t>No</t>
        </is>
      </c>
      <c r="AV2" s="2" t="inlineStr">
        <is>
          <t>NO</t>
        </is>
      </c>
      <c r="AW2" s="2" t="inlineStr">
        <is>
          <t>NO</t>
        </is>
      </c>
      <c r="AX2" s="2" t="inlineStr">
        <is>
          <t>NO</t>
        </is>
      </c>
      <c r="AY2" s="2" t="inlineStr">
        <is>
          <t>0</t>
        </is>
      </c>
      <c r="AZ2" s="2" t="n">
        <v>67.7</v>
      </c>
      <c r="BA2" s="2" t="n">
        <v>1.62</v>
      </c>
      <c r="BB2" s="7">
        <f>IFERROR(IF(OR(AZ2="",BA2=""),0,AZ2/BA2^2),0)</f>
        <v/>
      </c>
      <c r="BC2" s="6">
        <f>IFERROR(IF(BB2="","SIN DATO",IF(BB2&lt;18.5,"Bajo peso",IF(BB2&lt;25,"Peso normal",IF(BB2&lt;30,"Sobrepeso",IF(BB2&lt;35,"Obesidad grado 1",IF(BB2&lt;40,"Obesidad grado 2","Obesidad grado 3")))))),"SIN DATO")</f>
        <v/>
      </c>
      <c r="BD2" s="2" t="inlineStr">
        <is>
          <t>SI</t>
        </is>
      </c>
      <c r="BE2" s="2" t="inlineStr">
        <is>
          <t>SI</t>
        </is>
      </c>
      <c r="BF2" s="2" t="inlineStr">
        <is>
          <t>NO</t>
        </is>
      </c>
      <c r="BG2" s="2" t="inlineStr">
        <is>
          <t>NO</t>
        </is>
      </c>
      <c r="BH2" s="2" t="inlineStr">
        <is>
          <t>NO</t>
        </is>
      </c>
      <c r="BI2" s="2" t="inlineStr">
        <is>
          <t>NO</t>
        </is>
      </c>
      <c r="BJ2" s="2" t="inlineStr">
        <is>
          <t>CLASIFICACION DEL RIESGO ALTO</t>
        </is>
      </c>
      <c r="BK2" s="2" t="inlineStr">
        <is>
          <t>ARO POR RURAL DISPERSA</t>
        </is>
      </c>
      <c r="BL2" s="2" t="inlineStr">
        <is>
          <t>SIN DATO</t>
        </is>
      </c>
      <c r="BM2" s="2" t="inlineStr">
        <is>
          <t>SI</t>
        </is>
      </c>
      <c r="BN2" s="2" t="inlineStr">
        <is>
          <t>GINECOLOGIA</t>
        </is>
      </c>
      <c r="BO2" s="3" t="n">
        <v>46000</v>
      </c>
      <c r="BP2" s="4">
        <f>IFERROR(IF(DATEDIF(AE2,BO2,"D")/7&lt;14,"1 Trim",IF(DATEDIF(AE2,BO2,"D")/7&lt;28,"2 Trim","3 Trim")),0)</f>
        <v/>
      </c>
      <c r="BQ2" s="3" t="inlineStr">
        <is>
          <t>1845-01-01</t>
        </is>
      </c>
      <c r="BR2" s="2" t="inlineStr">
        <is>
          <t>SIN DATO</t>
        </is>
      </c>
      <c r="BS2" s="4">
        <f>IFERROR(IF(DATEDIF(AE2,BQ2,"D")/7&lt;14,"1 Trim",IF(DATEDIF(AE2,BQ2,"D")/7&lt;28,"2 Trim","3 Trim")),0)</f>
        <v/>
      </c>
      <c r="BT2" s="3" t="n">
        <v>46036</v>
      </c>
      <c r="BU2" s="2" t="inlineStr">
        <is>
          <t>NEGATIVO</t>
        </is>
      </c>
      <c r="BV2" s="4">
        <f>IFERROR(IF(DATEDIF(AE2,BT2,"D")/7&lt;14,"1 Trim",IF(DATEDIF(AE2,BT2,"D")/7&lt;28,"2 Trim","3 Trim")),0)</f>
        <v/>
      </c>
      <c r="BW2" s="3" t="inlineStr">
        <is>
          <t>1845-01-01</t>
        </is>
      </c>
      <c r="BX2" s="2" t="inlineStr">
        <is>
          <t>SIN DATO</t>
        </is>
      </c>
      <c r="BY2" s="4">
        <f>IFERROR(IF(DATEDIF(AE2,BW2,"D")/7&lt;14,"1 Trim",IF(DATEDIF(AE2,BW2,"D")/7&lt;28,"2 Trim","3 Trim")),0)</f>
        <v/>
      </c>
      <c r="BZ2" s="3" t="inlineStr">
        <is>
          <t>1845-01-01</t>
        </is>
      </c>
      <c r="CA2" s="2" t="inlineStr">
        <is>
          <t>SIN DATO</t>
        </is>
      </c>
      <c r="CB2" s="4">
        <f>IFERROR(IF(DATEDIF(AE2,BZ2,"D")/7&lt;14,"1 Trim",IF(DATEDIF(AE2,BZ2,"D")/7&lt;28,"2 Trim","3 Trim")),0)</f>
        <v/>
      </c>
      <c r="CC2" s="3" t="n">
        <v>46036</v>
      </c>
      <c r="CD2" s="2" t="inlineStr">
        <is>
          <t>NEGATIVO</t>
        </is>
      </c>
      <c r="CE2" s="4">
        <f>IFERROR(IF(DATEDIF(AE2,CC2,"D")/7&lt;14,"1 Trim",IF(DATEDIF(AE2,CC2,"D")/7&lt;28,"2 Trim","3 Trim")),0)</f>
        <v/>
      </c>
      <c r="CF2" s="3" t="inlineStr">
        <is>
          <t>1845-01-01</t>
        </is>
      </c>
      <c r="CG2" s="2" t="inlineStr">
        <is>
          <t>SIN DATO</t>
        </is>
      </c>
      <c r="CH2" s="4">
        <f>IFERROR(IF(DATEDIF(AE2,CF2,"D")/7&lt;14,"1 Trim",IF(DATEDIF(AE2,CF2,"D")/7&lt;28,"2 Trim","3 Trim")),0)</f>
        <v/>
      </c>
      <c r="CI2" s="3" t="inlineStr">
        <is>
          <t>1845-01-01</t>
        </is>
      </c>
      <c r="CJ2" s="2" t="inlineStr">
        <is>
          <t>SIN DATO</t>
        </is>
      </c>
      <c r="CK2" s="6">
        <f>IFERROR(IF(DATEDIF(AE2,CI2,"D")/7&lt;14,"1 Trim",IF(DATEDIF(AE2,CI2,"D")/7&lt;28,"2 Trim","3 Trim")),"SIN DATO")</f>
        <v/>
      </c>
      <c r="CL2" s="3" t="inlineStr">
        <is>
          <t>1845-01-01</t>
        </is>
      </c>
      <c r="CM2" s="4">
        <f>IFERROR(IF(DATEDIF(AE2,CL2,"D")/7&lt;14,"1 Trim",IF(DATEDIF(AE2,CL2,"D")/7&lt;27,"2 Trim","3 Trim")),0)</f>
        <v/>
      </c>
      <c r="CN2" s="3" t="inlineStr">
        <is>
          <t>1845-01-01</t>
        </is>
      </c>
      <c r="CO2" s="2" t="inlineStr">
        <is>
          <t>SIN DATO</t>
        </is>
      </c>
      <c r="CP2" s="3" t="inlineStr">
        <is>
          <t>1845-01-01</t>
        </is>
      </c>
      <c r="CQ2" s="3" t="inlineStr">
        <is>
          <t>1845-01-01</t>
        </is>
      </c>
      <c r="CR2" s="3" t="inlineStr">
        <is>
          <t>1845-01-01</t>
        </is>
      </c>
      <c r="CS2" s="3" t="n">
        <v>45968</v>
      </c>
      <c r="CT2" s="2" t="inlineStr">
        <is>
          <t>NEGATIVO</t>
        </is>
      </c>
      <c r="CU2" s="3" t="n">
        <v>45968</v>
      </c>
      <c r="CV2" s="2" t="n">
        <v>19000317000000</v>
      </c>
      <c r="CW2" s="3" t="inlineStr">
        <is>
          <t>1845-01-01</t>
        </is>
      </c>
      <c r="CX2" s="2" t="n">
        <v>0</v>
      </c>
      <c r="CY2" s="3" t="n">
        <v>45968</v>
      </c>
      <c r="CZ2" s="2" t="n">
        <v>11.8</v>
      </c>
      <c r="DA2" s="2" t="inlineStr">
        <is>
          <t>O+</t>
        </is>
      </c>
      <c r="DB2" s="3" t="n">
        <v>45968</v>
      </c>
      <c r="DC2" s="2" t="inlineStr">
        <is>
          <t>NEGATIVO</t>
        </is>
      </c>
      <c r="DD2" s="3" t="n">
        <v>45968</v>
      </c>
      <c r="DE2" s="2" t="inlineStr">
        <is>
          <t>NEGATIVO</t>
        </is>
      </c>
      <c r="DF2" s="3" t="inlineStr">
        <is>
          <t>1845-01-01</t>
        </is>
      </c>
      <c r="DG2" s="2" t="inlineStr">
        <is>
          <t>SIN DATO</t>
        </is>
      </c>
      <c r="DH2" s="3" t="inlineStr">
        <is>
          <t>1845-01-01</t>
        </is>
      </c>
      <c r="DI2" s="2" t="inlineStr">
        <is>
          <t>SIN DATO</t>
        </is>
      </c>
      <c r="DJ2" s="3" t="inlineStr">
        <is>
          <t>1845-01-01</t>
        </is>
      </c>
      <c r="DK2" s="2" t="inlineStr">
        <is>
          <t>SIN DATO</t>
        </is>
      </c>
      <c r="DL2" s="3" t="n">
        <v>45968</v>
      </c>
      <c r="DM2" s="2" t="inlineStr">
        <is>
          <t>NEGATIVO</t>
        </is>
      </c>
      <c r="DN2" s="3" t="inlineStr">
        <is>
          <t>1845-01-01</t>
        </is>
      </c>
      <c r="DO2" s="2" t="inlineStr">
        <is>
          <t>SIN DATO</t>
        </is>
      </c>
      <c r="DP2" s="3" t="inlineStr">
        <is>
          <t>1845-01-01</t>
        </is>
      </c>
      <c r="DQ2" s="3" t="n">
        <v>46036</v>
      </c>
      <c r="DR2" s="3" t="n">
        <v>46036</v>
      </c>
      <c r="DS2" s="3" t="n">
        <v>46000</v>
      </c>
      <c r="DT2" s="3" t="inlineStr">
        <is>
          <t>1845-01-01</t>
        </is>
      </c>
      <c r="DU2" s="3" t="n">
        <v>46006</v>
      </c>
      <c r="DV2" s="3" t="inlineStr">
        <is>
          <t>1845-01-01</t>
        </is>
      </c>
      <c r="DW2" s="3" t="inlineStr">
        <is>
          <t>1845-01-01</t>
        </is>
      </c>
      <c r="DX2" s="3" t="n">
        <v>46080</v>
      </c>
      <c r="DY2" s="3" t="n">
        <v>46080</v>
      </c>
      <c r="DZ2" s="3" t="inlineStr">
        <is>
          <t>1845-01-01</t>
        </is>
      </c>
      <c r="EA2" s="3" t="inlineStr">
        <is>
          <t>1845-01-01</t>
        </is>
      </c>
      <c r="EB2" s="3" t="n">
        <v>46000</v>
      </c>
      <c r="EC2" s="2" t="inlineStr">
        <is>
          <t>medico</t>
        </is>
      </c>
      <c r="ED2" s="3" t="n">
        <v>46028</v>
      </c>
      <c r="EE2" s="2" t="inlineStr">
        <is>
          <t>medico</t>
        </is>
      </c>
      <c r="EF2" s="3" t="n">
        <v>46080</v>
      </c>
      <c r="EG2" s="2" t="inlineStr">
        <is>
          <t>medico</t>
        </is>
      </c>
      <c r="EH2" s="3" t="inlineStr">
        <is>
          <t>1845-01-01</t>
        </is>
      </c>
      <c r="EI2" s="2" t="inlineStr">
        <is>
          <t>SIN DATO</t>
        </is>
      </c>
      <c r="EJ2" s="3" t="inlineStr">
        <is>
          <t>1845-01-01</t>
        </is>
      </c>
      <c r="EK2" s="2" t="inlineStr">
        <is>
          <t>SIN DATO</t>
        </is>
      </c>
      <c r="EL2" s="3" t="inlineStr">
        <is>
          <t>1845-01-01</t>
        </is>
      </c>
      <c r="EM2" s="2" t="inlineStr">
        <is>
          <t>SIN DATO</t>
        </is>
      </c>
      <c r="EN2" s="3" t="inlineStr">
        <is>
          <t>1845-01-01</t>
        </is>
      </c>
      <c r="EO2" s="2" t="inlineStr">
        <is>
          <t>SIN DATO</t>
        </is>
      </c>
      <c r="EP2" s="3" t="inlineStr">
        <is>
          <t>1845-01-01</t>
        </is>
      </c>
      <c r="EQ2" s="2" t="inlineStr">
        <is>
          <t>SIN DATO</t>
        </is>
      </c>
      <c r="ER2" s="3" t="inlineStr">
        <is>
          <t>1845-01-01</t>
        </is>
      </c>
      <c r="ES2" s="2" t="inlineStr">
        <is>
          <t>SIN DATO</t>
        </is>
      </c>
      <c r="ET2" s="4">
        <f>IFERROR(COUNTIF(EB2,"&gt;0")+COUNTIF(ED2,"&gt;0")+COUNTIF(EF2,"&gt;0")+COUNTIF(EH2,"&gt;0")+COUNTIF(EJ2,"&gt;0")+COUNTIF(EL2,"&gt;0")+COUNTIF(EN2,"&gt;0")+COUNTIF(EP2,"&gt;0")+COUNTIF(ER2,"&gt;0"),0)</f>
        <v/>
      </c>
      <c r="EU2" s="5">
        <f>IF(MAX(EB2,ED2,EF2,EH2,EJ2,EL2,EN2,EP2,ER2)=0,"1845-01-01",MAX(EB2,ED2,EF2,EH2,EJ2,EL2,EN2,EP2,ER2))</f>
        <v/>
      </c>
      <c r="EV2" s="4">
        <f>IF(OR(AE2="",EU2="1845-01-01"),0,IFERROR(DATEDIF(AE2,EU2,"D")/7,0))</f>
        <v/>
      </c>
      <c r="EW2" s="2" t="n">
        <v>72</v>
      </c>
      <c r="EX2" s="2" t="n">
        <v>1.48</v>
      </c>
      <c r="EY2" s="7">
        <f>IFERROR(IF(OR(EW2="",EX2=""),0,EW2/EX2^2),0)</f>
        <v/>
      </c>
      <c r="EZ2" s="2" t="inlineStr">
        <is>
          <t>0</t>
        </is>
      </c>
      <c r="FA2" s="3" t="n">
        <v>46000</v>
      </c>
      <c r="FB2" s="3" t="inlineStr">
        <is>
          <t>1845-01-01</t>
        </is>
      </c>
      <c r="FC2" s="3" t="inlineStr">
        <is>
          <t>1845-01-01</t>
        </is>
      </c>
      <c r="FD2" s="3" t="n">
        <v>46000</v>
      </c>
      <c r="FE2" s="3" t="n">
        <v>46000</v>
      </c>
      <c r="FF2" s="3" t="inlineStr">
        <is>
          <t>1845-01-01</t>
        </is>
      </c>
      <c r="FG2" s="2" t="inlineStr">
        <is>
          <t>SIN DATO</t>
        </is>
      </c>
      <c r="FH2" s="2" t="inlineStr">
        <is>
          <t>SIN DATO</t>
        </is>
      </c>
      <c r="FI2" s="3" t="inlineStr">
        <is>
          <t>1845-01-01</t>
        </is>
      </c>
      <c r="FJ2" s="2" t="n">
        <v>0</v>
      </c>
      <c r="FK2" s="2" t="inlineStr">
        <is>
          <t>SIN DATO</t>
        </is>
      </c>
      <c r="FL2" s="3" t="n">
        <v>46085</v>
      </c>
      <c r="FM2" s="2" t="inlineStr">
        <is>
          <t>PARTO VAGINAL</t>
        </is>
      </c>
      <c r="FN2" s="2" t="inlineStr">
        <is>
          <t>SIN DATO</t>
        </is>
      </c>
      <c r="FO2" s="2" t="n">
        <v>0</v>
      </c>
      <c r="FP2" s="2" t="inlineStr">
        <is>
          <t>SIN DATO</t>
        </is>
      </c>
      <c r="FQ2" s="2" t="inlineStr">
        <is>
          <t>SIN DATO</t>
        </is>
      </c>
      <c r="FR2" s="2" t="inlineStr">
        <is>
          <t>SIN DATO</t>
        </is>
      </c>
      <c r="FS2" s="2" t="inlineStr">
        <is>
          <t>NO</t>
        </is>
      </c>
      <c r="FT2" s="2" t="inlineStr">
        <is>
          <t>SIN DATO</t>
        </is>
      </c>
      <c r="FU2" s="3" t="inlineStr">
        <is>
          <t>1845-01-01</t>
        </is>
      </c>
      <c r="FV2" s="2" t="inlineStr">
        <is>
          <t>SIN DATO</t>
        </is>
      </c>
      <c r="FW2" s="2" t="inlineStr">
        <is>
          <t>SIN DATO</t>
        </is>
      </c>
      <c r="FX2" s="2" t="n">
        <v>0</v>
      </c>
      <c r="FY2" s="2" t="inlineStr">
        <is>
          <t>SIN DATO</t>
        </is>
      </c>
      <c r="FZ2" s="2" t="inlineStr">
        <is>
          <t>SIN DATO</t>
        </is>
      </c>
      <c r="GA2" s="2" t="n">
        <v>0</v>
      </c>
      <c r="GB2" s="2" t="inlineStr">
        <is>
          <t>SIN DATO</t>
        </is>
      </c>
      <c r="GC2" s="2" t="inlineStr">
        <is>
          <t>SIN DATO</t>
        </is>
      </c>
      <c r="GD2" s="2" t="inlineStr">
        <is>
          <t>SIN DATO</t>
        </is>
      </c>
      <c r="GE2" s="2" t="inlineStr">
        <is>
          <t>SIN DATO</t>
        </is>
      </c>
      <c r="GF2" s="2" t="inlineStr">
        <is>
          <t>SIN DATO</t>
        </is>
      </c>
      <c r="GG2" s="2" t="inlineStr">
        <is>
          <t>SIN DATO</t>
        </is>
      </c>
      <c r="GH2" s="2" t="inlineStr">
        <is>
          <t>SIN DATO</t>
        </is>
      </c>
      <c r="GI2" s="2" t="inlineStr">
        <is>
          <t>SIN DATO</t>
        </is>
      </c>
      <c r="GJ2" s="2" t="n">
        <v>0</v>
      </c>
      <c r="GK2" s="2" t="inlineStr">
        <is>
          <t>SIN DATO</t>
        </is>
      </c>
      <c r="GL2" s="2" t="inlineStr">
        <is>
          <t>SIN DATO</t>
        </is>
      </c>
      <c r="GM2" s="2" t="n">
        <v>0</v>
      </c>
      <c r="GN2" s="2" t="inlineStr">
        <is>
          <t>SIN DATO</t>
        </is>
      </c>
      <c r="GO2" s="2" t="inlineStr">
        <is>
          <t>SIN DATO</t>
        </is>
      </c>
      <c r="GP2" s="2" t="inlineStr">
        <is>
          <t>SIN DATO</t>
        </is>
      </c>
      <c r="GQ2" s="2" t="inlineStr">
        <is>
          <t>SIN DATO</t>
        </is>
      </c>
      <c r="GR2" s="2" t="inlineStr">
        <is>
          <t>SIN DATO</t>
        </is>
      </c>
      <c r="GS2" s="2" t="inlineStr">
        <is>
          <t>SIN DATO</t>
        </is>
      </c>
      <c r="GT2" s="2" t="inlineStr">
        <is>
          <t>SIN DATO</t>
        </is>
      </c>
      <c r="GU2" s="2" t="inlineStr">
        <is>
          <t>SIN DATO</t>
        </is>
      </c>
      <c r="GV2" s="2" t="inlineStr">
        <is>
          <t>SIN DATO</t>
        </is>
      </c>
      <c r="GW2" s="2" t="inlineStr">
        <is>
          <t>SIN DATO</t>
        </is>
      </c>
      <c r="GX2" s="3" t="inlineStr">
        <is>
          <t>1845-01-01</t>
        </is>
      </c>
      <c r="GY2" s="2" t="inlineStr">
        <is>
          <t>SIN DATO</t>
        </is>
      </c>
    </row>
    <row r="3">
      <c r="A3" s="2" t="inlineStr">
        <is>
          <t>CC</t>
        </is>
      </c>
      <c r="B3" s="2" t="inlineStr">
        <is>
          <t>1131064721</t>
        </is>
      </c>
      <c r="C3" s="2" t="inlineStr">
        <is>
          <t>AMAYA</t>
        </is>
      </c>
      <c r="D3" s="2" t="inlineStr">
        <is>
          <t>CERVANTES</t>
        </is>
      </c>
      <c r="E3" s="2" t="inlineStr">
        <is>
          <t>ELIANIS</t>
        </is>
      </c>
      <c r="F3" s="2" t="inlineStr">
        <is>
          <t>YOJARID</t>
        </is>
      </c>
      <c r="G3" s="3" t="n">
        <v>39524</v>
      </c>
      <c r="H3" s="4">
        <f>IFERROR(IF(G3="",0,DATEDIF(G3,TODAY(),"Y")),0)</f>
        <v/>
      </c>
      <c r="I3" s="2" t="inlineStr">
        <is>
          <t>FEMENINO</t>
        </is>
      </c>
      <c r="J3" s="2" t="inlineStr">
        <is>
          <t>SUBSIDIADO</t>
        </is>
      </c>
      <c r="K3" s="2" t="inlineStr">
        <is>
          <t>NINGUNAS DE LAS ANTERIORES</t>
        </is>
      </c>
      <c r="L3" s="2" t="inlineStr">
        <is>
          <t>Mujer Embarazada</t>
        </is>
      </c>
      <c r="M3" s="2" t="inlineStr">
        <is>
          <t>LA GUAJIRA</t>
        </is>
      </c>
      <c r="N3" s="2" t="n">
        <v>44035</v>
      </c>
      <c r="O3" s="2" t="inlineStr">
        <is>
          <t>URBANA</t>
        </is>
      </c>
      <c r="P3" s="2" t="inlineStr">
        <is>
          <t>SIN ETNIA</t>
        </is>
      </c>
      <c r="Q3" s="2" t="inlineStr">
        <is>
          <t>MANZANA B CASA 3  BLOQUE</t>
        </is>
      </c>
      <c r="R3" s="2" t="inlineStr">
        <is>
          <t>3044577508</t>
        </is>
      </c>
      <c r="S3" s="2" t="inlineStr">
        <is>
          <t>MANZANA B CASA 3  BLOQUE</t>
        </is>
      </c>
      <c r="T3" s="2" t="inlineStr">
        <is>
          <t>basica primaria</t>
        </is>
      </c>
      <c r="U3" s="2" t="inlineStr">
        <is>
          <t>NO</t>
        </is>
      </c>
      <c r="V3" s="2" t="inlineStr">
        <is>
          <t>NO</t>
        </is>
      </c>
      <c r="W3" s="2" t="inlineStr">
        <is>
          <t>AMA DE CASA</t>
        </is>
      </c>
      <c r="X3" s="2" t="inlineStr">
        <is>
          <t>UNION LIBRE</t>
        </is>
      </c>
      <c r="Y3" s="2" t="inlineStr">
        <is>
          <t>NO APLICA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E.S.E HOSPITAL SAN RAFAEL DE ALBANIA</t>
        </is>
      </c>
      <c r="AC3" s="3" t="n">
        <v>46035</v>
      </c>
      <c r="AD3" s="3" t="n">
        <v>46035</v>
      </c>
      <c r="AE3" s="3" t="n">
        <v>45994</v>
      </c>
      <c r="AF3" s="5">
        <f>IFERROR(IF(AE3="","1845-01-01",AE3+280),"1845-01-01")</f>
        <v/>
      </c>
      <c r="AG3" s="4">
        <f>IFERROR(IF(AF3="",0,AF3-TODAY()),0)</f>
        <v/>
      </c>
      <c r="AH3" s="6">
        <f>IFERROR(IF(AG3="","SIN DATO",IF(AG3&lt;0,"Nacido",IF(AG3&lt;=7,"Semana de parto",IF(AG3&lt;=28,"Menos 4 sem","Pendiente")))),"SIN DATO")</f>
        <v/>
      </c>
      <c r="AI3" s="7">
        <f>IFERROR(IF(OR(AE3="",AD3=""),0,DATEDIF(AE3,AD3,"D")/7),0)</f>
        <v/>
      </c>
      <c r="AJ3" s="6">
        <f>IFERROR(IF(AI3="","SIN DATO",IF(AI3&lt;14,"1 Trim",IF(AI3&lt;28,"2 Trim","3 Trim"))),"SIN DATO")</f>
        <v/>
      </c>
      <c r="AK3" s="2" t="n">
        <v>2</v>
      </c>
      <c r="AL3" s="2" t="n">
        <v>0</v>
      </c>
      <c r="AM3" s="2" t="n">
        <v>1</v>
      </c>
      <c r="AN3" s="2" t="n">
        <v>0</v>
      </c>
      <c r="AO3" s="2" t="n">
        <v>0</v>
      </c>
      <c r="AP3" s="2" t="n">
        <v>0</v>
      </c>
      <c r="AQ3" s="2" t="inlineStr">
        <is>
          <t>NO</t>
        </is>
      </c>
      <c r="AR3" s="2" t="inlineStr">
        <is>
          <t>NO</t>
        </is>
      </c>
      <c r="AS3" s="2" t="inlineStr">
        <is>
          <t>No</t>
        </is>
      </c>
      <c r="AT3" s="2" t="inlineStr">
        <is>
          <t>No</t>
        </is>
      </c>
      <c r="AU3" s="2" t="inlineStr">
        <is>
          <t>No</t>
        </is>
      </c>
      <c r="AV3" s="2" t="inlineStr">
        <is>
          <t>NO</t>
        </is>
      </c>
      <c r="AW3" s="2" t="inlineStr">
        <is>
          <t>NO</t>
        </is>
      </c>
      <c r="AX3" s="2" t="inlineStr">
        <is>
          <t>NO</t>
        </is>
      </c>
      <c r="AY3" s="2" t="inlineStr">
        <is>
          <t>0</t>
        </is>
      </c>
      <c r="AZ3" s="2" t="n">
        <v>55</v>
      </c>
      <c r="BA3" s="2" t="n">
        <v>1.63</v>
      </c>
      <c r="BB3" s="7">
        <f>IFERROR(IF(OR(AZ3="",BA3=""),0,AZ3/BA3^2),0)</f>
        <v/>
      </c>
      <c r="BC3" s="6">
        <f>IFERROR(IF(BB3="","SIN DATO",IF(BB3&lt;18.5,"Bajo peso",IF(BB3&lt;25,"Peso normal",IF(BB3&lt;30,"Sobrepeso",IF(BB3&lt;35,"Obesidad grado 1",IF(BB3&lt;40,"Obesidad grado 2","Obesidad grado 3")))))),"SIN DATO")</f>
        <v/>
      </c>
      <c r="BD3" s="2" t="inlineStr">
        <is>
          <t>SI</t>
        </is>
      </c>
      <c r="BE3" s="2" t="inlineStr">
        <is>
          <t>SI</t>
        </is>
      </c>
      <c r="BF3" s="2" t="inlineStr">
        <is>
          <t>NO</t>
        </is>
      </c>
      <c r="BG3" s="2" t="inlineStr">
        <is>
          <t>NO</t>
        </is>
      </c>
      <c r="BH3" s="2" t="inlineStr">
        <is>
          <t>NO</t>
        </is>
      </c>
      <c r="BI3" s="2" t="inlineStr">
        <is>
          <t>NO</t>
        </is>
      </c>
      <c r="BJ3" s="2" t="inlineStr">
        <is>
          <t>CLASIFICACION DEL RIESGO ALTO</t>
        </is>
      </c>
      <c r="BK3" s="2" t="inlineStr">
        <is>
          <t>ARO POR RURAL DISPERSA</t>
        </is>
      </c>
      <c r="BL3" s="2" t="inlineStr">
        <is>
          <t>SIN DATO</t>
        </is>
      </c>
      <c r="BM3" s="2" t="inlineStr">
        <is>
          <t>SI</t>
        </is>
      </c>
      <c r="BN3" s="2" t="inlineStr">
        <is>
          <t>GINECOLOGIA</t>
        </is>
      </c>
      <c r="BO3" s="3" t="n">
        <v>46035</v>
      </c>
      <c r="BP3" s="4">
        <f>IFERROR(IF(DATEDIF(AE3,BO3,"D")/7&lt;14,"1 Trim",IF(DATEDIF(AE3,BO3,"D")/7&lt;28,"2 Trim","3 Trim")),0)</f>
        <v/>
      </c>
      <c r="BQ3" s="3" t="n">
        <v>46036</v>
      </c>
      <c r="BR3" s="2" t="inlineStr">
        <is>
          <t>NEGATIVO</t>
        </is>
      </c>
      <c r="BS3" s="4">
        <f>IFERROR(IF(DATEDIF(AE3,BQ3,"D")/7&lt;14,"1 Trim",IF(DATEDIF(AE3,BQ3,"D")/7&lt;28,"2 Trim","3 Trim")),0)</f>
        <v/>
      </c>
      <c r="BT3" s="3" t="inlineStr">
        <is>
          <t>1845-01-01</t>
        </is>
      </c>
      <c r="BU3" s="2" t="inlineStr">
        <is>
          <t>SIN DATO</t>
        </is>
      </c>
      <c r="BV3" s="4">
        <f>IFERROR(IF(DATEDIF(AE3,BT3,"D")/7&lt;14,"1 Trim",IF(DATEDIF(AE3,BT3,"D")/7&lt;28,"2 Trim","3 Trim")),0)</f>
        <v/>
      </c>
      <c r="BW3" s="3" t="inlineStr">
        <is>
          <t>1845-01-01</t>
        </is>
      </c>
      <c r="BX3" s="2" t="inlineStr">
        <is>
          <t>SIN DATO</t>
        </is>
      </c>
      <c r="BY3" s="4">
        <f>IFERROR(IF(DATEDIF(AE3,BW3,"D")/7&lt;14,"1 Trim",IF(DATEDIF(AE3,BW3,"D")/7&lt;28,"2 Trim","3 Trim")),0)</f>
        <v/>
      </c>
      <c r="BZ3" s="3" t="n">
        <v>46036</v>
      </c>
      <c r="CA3" s="2" t="inlineStr">
        <is>
          <t>NEGATIVO</t>
        </is>
      </c>
      <c r="CB3" s="4">
        <f>IFERROR(IF(DATEDIF(AE3,BZ3,"D")/7&lt;14,"1 Trim",IF(DATEDIF(AE3,BZ3,"D")/7&lt;28,"2 Trim","3 Trim")),0)</f>
        <v/>
      </c>
      <c r="CC3" s="3" t="inlineStr">
        <is>
          <t>1845-01-01</t>
        </is>
      </c>
      <c r="CD3" s="2" t="inlineStr">
        <is>
          <t>SIN DATO</t>
        </is>
      </c>
      <c r="CE3" s="4">
        <f>IFERROR(IF(DATEDIF(AE3,CC3,"D")/7&lt;14,"1 Trim",IF(DATEDIF(AE3,CC3,"D")/7&lt;28,"2 Trim","3 Trim")),0)</f>
        <v/>
      </c>
      <c r="CF3" s="3" t="inlineStr">
        <is>
          <t>1845-01-01</t>
        </is>
      </c>
      <c r="CG3" s="2" t="inlineStr">
        <is>
          <t>SIN DATO</t>
        </is>
      </c>
      <c r="CH3" s="4">
        <f>IFERROR(IF(DATEDIF(AE3,CF3,"D")/7&lt;14,"1 Trim",IF(DATEDIF(AE3,CF3,"D")/7&lt;28,"2 Trim","3 Trim")),0)</f>
        <v/>
      </c>
      <c r="CI3" s="3" t="inlineStr">
        <is>
          <t>1845-01-01</t>
        </is>
      </c>
      <c r="CJ3" s="2" t="inlineStr">
        <is>
          <t>SIN DATO</t>
        </is>
      </c>
      <c r="CK3" s="6">
        <f>IFERROR(IF(DATEDIF(AE3,CI3,"D")/7&lt;14,"1 Trim",IF(DATEDIF(AE3,CI3,"D")/7&lt;28,"2 Trim","3 Trim")),"SIN DATO")</f>
        <v/>
      </c>
      <c r="CL3" s="3" t="inlineStr">
        <is>
          <t>1845-01-01</t>
        </is>
      </c>
      <c r="CM3" s="4">
        <f>IFERROR(IF(DATEDIF(AE3,CL3,"D")/7&lt;14,"1 Trim",IF(DATEDIF(AE3,CL3,"D")/7&lt;27,"2 Trim","3 Trim")),0)</f>
        <v/>
      </c>
      <c r="CN3" s="3" t="inlineStr">
        <is>
          <t>1845-01-01</t>
        </is>
      </c>
      <c r="CO3" s="2" t="inlineStr">
        <is>
          <t>SIN DATO</t>
        </is>
      </c>
      <c r="CP3" s="3" t="inlineStr">
        <is>
          <t>1845-01-01</t>
        </is>
      </c>
      <c r="CQ3" s="3" t="inlineStr">
        <is>
          <t>1845-01-01</t>
        </is>
      </c>
      <c r="CR3" s="3" t="inlineStr">
        <is>
          <t>1845-01-01</t>
        </is>
      </c>
      <c r="CS3" s="3" t="n">
        <v>46036</v>
      </c>
      <c r="CT3" s="2" t="inlineStr">
        <is>
          <t>NEGATIVO</t>
        </is>
      </c>
      <c r="CU3" s="3" t="n">
        <v>46036</v>
      </c>
      <c r="CV3" s="2" t="n">
        <v>19000320000000</v>
      </c>
      <c r="CW3" s="3" t="inlineStr">
        <is>
          <t>1845-01-01</t>
        </is>
      </c>
      <c r="CX3" s="2" t="n">
        <v>0</v>
      </c>
      <c r="CY3" s="3" t="n">
        <v>46036</v>
      </c>
      <c r="CZ3" s="2" t="n">
        <v>11.8</v>
      </c>
      <c r="DA3" s="2" t="inlineStr">
        <is>
          <t>SIN DATO</t>
        </is>
      </c>
      <c r="DB3" s="3" t="n">
        <v>46036</v>
      </c>
      <c r="DC3" s="2" t="inlineStr">
        <is>
          <t>NEGATIVO</t>
        </is>
      </c>
      <c r="DD3" s="3" t="n">
        <v>46036</v>
      </c>
      <c r="DE3" s="2" t="inlineStr">
        <is>
          <t>NEGATIVO</t>
        </is>
      </c>
      <c r="DF3" s="3" t="inlineStr">
        <is>
          <t>1845-01-01</t>
        </is>
      </c>
      <c r="DG3" s="2" t="inlineStr">
        <is>
          <t>SIN DATO</t>
        </is>
      </c>
      <c r="DH3" s="3" t="inlineStr">
        <is>
          <t>1845-01-01</t>
        </is>
      </c>
      <c r="DI3" s="2" t="inlineStr">
        <is>
          <t>SIN DATO</t>
        </is>
      </c>
      <c r="DJ3" s="3" t="inlineStr">
        <is>
          <t>1845-01-01</t>
        </is>
      </c>
      <c r="DK3" s="2" t="inlineStr">
        <is>
          <t>SIN DATO</t>
        </is>
      </c>
      <c r="DL3" s="3" t="inlineStr">
        <is>
          <t>1845-01-01</t>
        </is>
      </c>
      <c r="DM3" s="2" t="inlineStr">
        <is>
          <t>SIN DATO</t>
        </is>
      </c>
      <c r="DN3" s="3" t="inlineStr">
        <is>
          <t>1845-01-01</t>
        </is>
      </c>
      <c r="DO3" s="2" t="inlineStr">
        <is>
          <t>SIN DATO</t>
        </is>
      </c>
      <c r="DP3" s="3" t="inlineStr">
        <is>
          <t>1845-01-01</t>
        </is>
      </c>
      <c r="DQ3" s="3" t="inlineStr">
        <is>
          <t>1845-01-01</t>
        </is>
      </c>
      <c r="DR3" s="3" t="inlineStr">
        <is>
          <t>1845-01-01</t>
        </is>
      </c>
      <c r="DS3" s="3" t="n">
        <v>46035</v>
      </c>
      <c r="DT3" s="3" t="n">
        <v>46002</v>
      </c>
      <c r="DU3" s="3" t="inlineStr">
        <is>
          <t>1845-01-01</t>
        </is>
      </c>
      <c r="DV3" s="3" t="inlineStr">
        <is>
          <t>1845-01-01</t>
        </is>
      </c>
      <c r="DW3" s="3" t="n">
        <v>46035</v>
      </c>
      <c r="DX3" s="3" t="n">
        <v>46035</v>
      </c>
      <c r="DY3" s="3" t="inlineStr">
        <is>
          <t>1845-01-01</t>
        </is>
      </c>
      <c r="DZ3" s="3" t="inlineStr">
        <is>
          <t>1845-01-01</t>
        </is>
      </c>
      <c r="EA3" s="3" t="inlineStr">
        <is>
          <t>1845-01-01</t>
        </is>
      </c>
      <c r="EB3" s="3" t="n">
        <v>46035</v>
      </c>
      <c r="EC3" s="2" t="inlineStr">
        <is>
          <t>medico</t>
        </is>
      </c>
      <c r="ED3" s="3" t="inlineStr">
        <is>
          <t>1845-01-01</t>
        </is>
      </c>
      <c r="EE3" s="2" t="inlineStr">
        <is>
          <t>SIN DATO</t>
        </is>
      </c>
      <c r="EF3" s="3" t="inlineStr">
        <is>
          <t>1845-01-01</t>
        </is>
      </c>
      <c r="EG3" s="2" t="inlineStr">
        <is>
          <t>SIN DATO</t>
        </is>
      </c>
      <c r="EH3" s="3" t="inlineStr">
        <is>
          <t>1845-01-01</t>
        </is>
      </c>
      <c r="EI3" s="2" t="inlineStr">
        <is>
          <t>SIN DATO</t>
        </is>
      </c>
      <c r="EJ3" s="3" t="inlineStr">
        <is>
          <t>1845-01-01</t>
        </is>
      </c>
      <c r="EK3" s="2" t="inlineStr">
        <is>
          <t>SIN DATO</t>
        </is>
      </c>
      <c r="EL3" s="3" t="inlineStr">
        <is>
          <t>1845-01-01</t>
        </is>
      </c>
      <c r="EM3" s="2" t="inlineStr">
        <is>
          <t>SIN DATO</t>
        </is>
      </c>
      <c r="EN3" s="3" t="inlineStr">
        <is>
          <t>1845-01-01</t>
        </is>
      </c>
      <c r="EO3" s="2" t="inlineStr">
        <is>
          <t>SIN DATO</t>
        </is>
      </c>
      <c r="EP3" s="3" t="inlineStr">
        <is>
          <t>1845-01-01</t>
        </is>
      </c>
      <c r="EQ3" s="2" t="inlineStr">
        <is>
          <t>SIN DATO</t>
        </is>
      </c>
      <c r="ER3" s="3" t="inlineStr">
        <is>
          <t>1845-01-01</t>
        </is>
      </c>
      <c r="ES3" s="2" t="inlineStr">
        <is>
          <t>SIN DATO</t>
        </is>
      </c>
      <c r="ET3" s="4">
        <f>IFERROR(COUNTIF(EB3,"&gt;0")+COUNTIF(ED3,"&gt;0")+COUNTIF(EF3,"&gt;0")+COUNTIF(EH3,"&gt;0")+COUNTIF(EJ3,"&gt;0")+COUNTIF(EL3,"&gt;0")+COUNTIF(EN3,"&gt;0")+COUNTIF(EP3,"&gt;0")+COUNTIF(ER3,"&gt;0"),0)</f>
        <v/>
      </c>
      <c r="EU3" s="5">
        <f>IF(MAX(EB3,ED3,EF3,EH3,EJ3,EL3,EN3,EP3,ER3)=0,"1845-01-01",MAX(EB3,ED3,EF3,EH3,EJ3,EL3,EN3,EP3,ER3))</f>
        <v/>
      </c>
      <c r="EV3" s="4">
        <f>IF(OR(AE3="",EU3="1845-01-01"),0,IFERROR(DATEDIF(AE3,EU3,"D")/7,0))</f>
        <v/>
      </c>
      <c r="EW3" s="2" t="n">
        <v>55</v>
      </c>
      <c r="EX3" s="2" t="n">
        <v>1.63</v>
      </c>
      <c r="EY3" s="7">
        <f>IFERROR(IF(OR(EW3="",EX3=""),0,EW3/EX3^2),0)</f>
        <v/>
      </c>
      <c r="EZ3" s="2" t="inlineStr">
        <is>
          <t>0</t>
        </is>
      </c>
      <c r="FA3" s="3" t="n">
        <v>46035</v>
      </c>
      <c r="FB3" s="3" t="inlineStr">
        <is>
          <t>1845-01-01</t>
        </is>
      </c>
      <c r="FC3" s="3" t="inlineStr">
        <is>
          <t>1845-01-01</t>
        </is>
      </c>
      <c r="FD3" s="3" t="n">
        <v>46035</v>
      </c>
      <c r="FE3" s="3" t="n">
        <v>46035</v>
      </c>
      <c r="FF3" s="3" t="inlineStr">
        <is>
          <t>1845-01-01</t>
        </is>
      </c>
      <c r="FG3" s="2" t="inlineStr">
        <is>
          <t>SIN DATO</t>
        </is>
      </c>
      <c r="FH3" s="2" t="inlineStr">
        <is>
          <t>SIN DATO</t>
        </is>
      </c>
      <c r="FI3" s="3" t="n">
        <v>46056</v>
      </c>
      <c r="FJ3" s="2" t="n">
        <v>8</v>
      </c>
      <c r="FK3" s="2" t="inlineStr">
        <is>
          <t>SIN DATO</t>
        </is>
      </c>
      <c r="FL3" s="3" t="inlineStr">
        <is>
          <t>1845-01-01</t>
        </is>
      </c>
      <c r="FM3" s="2" t="inlineStr">
        <is>
          <t>SIN DATO</t>
        </is>
      </c>
      <c r="FN3" s="2" t="inlineStr">
        <is>
          <t>SIN DATO</t>
        </is>
      </c>
      <c r="FO3" s="2" t="n">
        <v>0</v>
      </c>
      <c r="FP3" s="2" t="inlineStr">
        <is>
          <t>SIN DATO</t>
        </is>
      </c>
      <c r="FQ3" s="2" t="inlineStr">
        <is>
          <t>SIN DATO</t>
        </is>
      </c>
      <c r="FR3" s="2" t="inlineStr">
        <is>
          <t>SIN DATO</t>
        </is>
      </c>
      <c r="FS3" s="2" t="inlineStr">
        <is>
          <t>NO</t>
        </is>
      </c>
      <c r="FT3" s="2" t="inlineStr">
        <is>
          <t>SIN DATO</t>
        </is>
      </c>
      <c r="FU3" s="3" t="inlineStr">
        <is>
          <t>1845-01-01</t>
        </is>
      </c>
      <c r="FV3" s="2" t="inlineStr">
        <is>
          <t>SIN DATO</t>
        </is>
      </c>
      <c r="FW3" s="2" t="inlineStr">
        <is>
          <t>SIN DATO</t>
        </is>
      </c>
      <c r="FX3" s="2" t="n">
        <v>0</v>
      </c>
      <c r="FY3" s="2" t="inlineStr">
        <is>
          <t>SIN DATO</t>
        </is>
      </c>
      <c r="FZ3" s="2" t="inlineStr">
        <is>
          <t>SIN DATO</t>
        </is>
      </c>
      <c r="GA3" s="2" t="n">
        <v>0</v>
      </c>
      <c r="GB3" s="2" t="inlineStr">
        <is>
          <t>SIN DATO</t>
        </is>
      </c>
      <c r="GC3" s="2" t="inlineStr">
        <is>
          <t>SIN DATO</t>
        </is>
      </c>
      <c r="GD3" s="2" t="inlineStr">
        <is>
          <t>SIN DATO</t>
        </is>
      </c>
      <c r="GE3" s="2" t="inlineStr">
        <is>
          <t>SIN DATO</t>
        </is>
      </c>
      <c r="GF3" s="2" t="inlineStr">
        <is>
          <t>SIN DATO</t>
        </is>
      </c>
      <c r="GG3" s="2" t="inlineStr">
        <is>
          <t>SIN DATO</t>
        </is>
      </c>
      <c r="GH3" s="2" t="inlineStr">
        <is>
          <t>SIN DATO</t>
        </is>
      </c>
      <c r="GI3" s="2" t="inlineStr">
        <is>
          <t>SIN DATO</t>
        </is>
      </c>
      <c r="GJ3" s="2" t="n">
        <v>0</v>
      </c>
      <c r="GK3" s="2" t="inlineStr">
        <is>
          <t>SIN DATO</t>
        </is>
      </c>
      <c r="GL3" s="2" t="inlineStr">
        <is>
          <t>SIN DATO</t>
        </is>
      </c>
      <c r="GM3" s="2" t="n">
        <v>0</v>
      </c>
      <c r="GN3" s="2" t="inlineStr">
        <is>
          <t>SIN DATO</t>
        </is>
      </c>
      <c r="GO3" s="2" t="inlineStr">
        <is>
          <t>SIN DATO</t>
        </is>
      </c>
      <c r="GP3" s="2" t="inlineStr">
        <is>
          <t>SIN DATO</t>
        </is>
      </c>
      <c r="GQ3" s="2" t="inlineStr">
        <is>
          <t>SIN DATO</t>
        </is>
      </c>
      <c r="GR3" s="2" t="inlineStr">
        <is>
          <t>SIN DATO</t>
        </is>
      </c>
      <c r="GS3" s="2" t="inlineStr">
        <is>
          <t>SIN DATO</t>
        </is>
      </c>
      <c r="GT3" s="2" t="inlineStr">
        <is>
          <t>SIN DATO</t>
        </is>
      </c>
      <c r="GU3" s="2" t="inlineStr">
        <is>
          <t>SIN DATO</t>
        </is>
      </c>
      <c r="GV3" s="2" t="inlineStr">
        <is>
          <t>INYECCION TRIMESTRAL</t>
        </is>
      </c>
      <c r="GW3" s="2" t="inlineStr">
        <is>
          <t>SIN DATO</t>
        </is>
      </c>
      <c r="GX3" s="3" t="n">
        <v>46100</v>
      </c>
      <c r="GY3" s="2" t="inlineStr">
        <is>
          <t>SIN DATO</t>
        </is>
      </c>
    </row>
    <row r="4">
      <c r="A4" s="2" t="inlineStr">
        <is>
          <t>CC</t>
        </is>
      </c>
      <c r="B4" s="2" t="inlineStr">
        <is>
          <t>56105650</t>
        </is>
      </c>
      <c r="C4" s="2" t="inlineStr">
        <is>
          <t>ARPUSHANA</t>
        </is>
      </c>
      <c r="D4" s="2" t="inlineStr">
        <is>
          <t>NONE</t>
        </is>
      </c>
      <c r="E4" s="2" t="inlineStr">
        <is>
          <t>CECILIA</t>
        </is>
      </c>
      <c r="F4" s="2" t="inlineStr">
        <is>
          <t>NONE</t>
        </is>
      </c>
      <c r="G4" s="3" t="n">
        <v>30806</v>
      </c>
      <c r="H4" s="4">
        <f>IFERROR(IF(G4="",0,DATEDIF(G4,TODAY(),"Y")),0)</f>
        <v/>
      </c>
      <c r="I4" s="2" t="inlineStr">
        <is>
          <t>FEMENINO</t>
        </is>
      </c>
      <c r="J4" s="2" t="inlineStr">
        <is>
          <t>SUBSIDIADO</t>
        </is>
      </c>
      <c r="K4" s="2" t="inlineStr">
        <is>
          <t>INDIGENA</t>
        </is>
      </c>
      <c r="L4" s="2" t="inlineStr">
        <is>
          <t>Mujer Embarazada</t>
        </is>
      </c>
      <c r="M4" s="2" t="inlineStr">
        <is>
          <t>LA GUAJIRA</t>
        </is>
      </c>
      <c r="N4" s="2" t="n">
        <v>44035</v>
      </c>
      <c r="O4" s="2" t="inlineStr">
        <is>
          <t>RURAL</t>
        </is>
      </c>
      <c r="P4" s="2" t="inlineStr">
        <is>
          <t>WAYUU</t>
        </is>
      </c>
      <c r="Q4" s="2" t="inlineStr">
        <is>
          <t>COMUNIDAD PATSUARARI</t>
        </is>
      </c>
      <c r="R4" s="2" t="inlineStr">
        <is>
          <t>3234665468</t>
        </is>
      </c>
      <c r="S4" s="2" t="inlineStr">
        <is>
          <t>COMUNIDAD PATSUARARI</t>
        </is>
      </c>
      <c r="T4" s="2" t="inlineStr">
        <is>
          <t>basica primaria</t>
        </is>
      </c>
      <c r="U4" s="2" t="inlineStr">
        <is>
          <t>NO</t>
        </is>
      </c>
      <c r="V4" s="2" t="inlineStr">
        <is>
          <t>NO</t>
        </is>
      </c>
      <c r="W4" s="2" t="inlineStr">
        <is>
          <t>AMA DE CASA</t>
        </is>
      </c>
      <c r="X4" s="2" t="inlineStr">
        <is>
          <t>UNION LIBRE</t>
        </is>
      </c>
      <c r="Y4" s="2" t="inlineStr">
        <is>
          <t>NO APLICA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E.S.E HOSPITAL SAN RAFAEL DE ALBANIA</t>
        </is>
      </c>
      <c r="AC4" s="3" t="n">
        <v>45959</v>
      </c>
      <c r="AD4" s="3" t="n">
        <v>45966</v>
      </c>
      <c r="AE4" s="3" t="n">
        <v>45849</v>
      </c>
      <c r="AF4" s="5">
        <f>IFERROR(IF(AE4="","1845-01-01",AE4+280),"1845-01-01")</f>
        <v/>
      </c>
      <c r="AG4" s="4">
        <f>IFERROR(IF(AF4="",0,AF4-TODAY()),0)</f>
        <v/>
      </c>
      <c r="AH4" s="6">
        <f>IFERROR(IF(AG4="","SIN DATO",IF(AG4&lt;0,"Nacido",IF(AG4&lt;=7,"Semana de parto",IF(AG4&lt;=28,"Menos 4 sem","Pendiente")))),"SIN DATO")</f>
        <v/>
      </c>
      <c r="AI4" s="7">
        <f>IFERROR(IF(OR(AE4="",AD4=""),0,DATEDIF(AE4,AD4,"D")/7),0)</f>
        <v/>
      </c>
      <c r="AJ4" s="6">
        <f>IFERROR(IF(AI4="","SIN DATO",IF(AI4&lt;14,"1 Trim",IF(AI4&lt;28,"2 Trim","3 Trim"))),"SIN DATO")</f>
        <v/>
      </c>
      <c r="AK4" s="2" t="n">
        <v>6</v>
      </c>
      <c r="AL4" s="2" t="n">
        <v>5</v>
      </c>
      <c r="AM4" s="2" t="n">
        <v>0</v>
      </c>
      <c r="AN4" s="2" t="n">
        <v>0</v>
      </c>
      <c r="AO4" s="2" t="n">
        <v>0</v>
      </c>
      <c r="AP4" s="2" t="n">
        <v>5</v>
      </c>
      <c r="AQ4" s="2" t="inlineStr">
        <is>
          <t>NO</t>
        </is>
      </c>
      <c r="AR4" s="2" t="inlineStr">
        <is>
          <t>NO</t>
        </is>
      </c>
      <c r="AS4" s="2" t="inlineStr">
        <is>
          <t>No</t>
        </is>
      </c>
      <c r="AT4" s="2" t="inlineStr">
        <is>
          <t>No</t>
        </is>
      </c>
      <c r="AU4" s="2" t="inlineStr">
        <is>
          <t>No</t>
        </is>
      </c>
      <c r="AV4" s="2" t="inlineStr">
        <is>
          <t>NO</t>
        </is>
      </c>
      <c r="AW4" s="2" t="inlineStr">
        <is>
          <t>NO</t>
        </is>
      </c>
      <c r="AX4" s="2" t="inlineStr">
        <is>
          <t>NO</t>
        </is>
      </c>
      <c r="AY4" s="2" t="inlineStr">
        <is>
          <t>0</t>
        </is>
      </c>
      <c r="AZ4" s="2" t="n">
        <v>65</v>
      </c>
      <c r="BA4" s="2" t="n">
        <v>1.62</v>
      </c>
      <c r="BB4" s="7">
        <f>IFERROR(IF(OR(AZ4="",BA4=""),0,AZ4/BA4^2),0)</f>
        <v/>
      </c>
      <c r="BC4" s="6">
        <f>IFERROR(IF(BB4="","SIN DATO",IF(BB4&lt;18.5,"Bajo peso",IF(BB4&lt;25,"Peso normal",IF(BB4&lt;30,"Sobrepeso",IF(BB4&lt;35,"Obesidad grado 1",IF(BB4&lt;40,"Obesidad grado 2","Obesidad grado 3")))))),"SIN DATO")</f>
        <v/>
      </c>
      <c r="BD4" s="2" t="inlineStr">
        <is>
          <t>SI</t>
        </is>
      </c>
      <c r="BE4" s="2" t="inlineStr">
        <is>
          <t>SI</t>
        </is>
      </c>
      <c r="BF4" s="2" t="inlineStr">
        <is>
          <t>NO</t>
        </is>
      </c>
      <c r="BG4" s="2" t="inlineStr">
        <is>
          <t>NO</t>
        </is>
      </c>
      <c r="BH4" s="2" t="inlineStr">
        <is>
          <t>NO</t>
        </is>
      </c>
      <c r="BI4" s="2" t="inlineStr">
        <is>
          <t>NO</t>
        </is>
      </c>
      <c r="BJ4" s="2" t="inlineStr">
        <is>
          <t>CLASIFICACION DEL RIESGO ALTO</t>
        </is>
      </c>
      <c r="BK4" s="2" t="inlineStr">
        <is>
          <t>ARO POR RURAL DISPERSA</t>
        </is>
      </c>
      <c r="BL4" s="2" t="inlineStr">
        <is>
          <t>SIN DATO</t>
        </is>
      </c>
      <c r="BM4" s="2" t="inlineStr">
        <is>
          <t>SI</t>
        </is>
      </c>
      <c r="BN4" s="2" t="inlineStr">
        <is>
          <t>GINECOLOGIA</t>
        </is>
      </c>
      <c r="BO4" s="3" t="n">
        <v>45966</v>
      </c>
      <c r="BP4" s="4">
        <f>IFERROR(IF(DATEDIF(AE4,BO4,"D")/7&lt;14,"1 Trim",IF(DATEDIF(AE4,BO4,"D")/7&lt;28,"2 Trim","3 Trim")),0)</f>
        <v/>
      </c>
      <c r="BQ4" s="3" t="inlineStr">
        <is>
          <t>1845-01-01</t>
        </is>
      </c>
      <c r="BR4" s="2" t="inlineStr">
        <is>
          <t>SIN DATO</t>
        </is>
      </c>
      <c r="BS4" s="4">
        <f>IFERROR(IF(DATEDIF(AE4,BQ4,"D")/7&lt;14,"1 Trim",IF(DATEDIF(AE4,BQ4,"D")/7&lt;28,"2 Trim","3 Trim")),0)</f>
        <v/>
      </c>
      <c r="BT4" s="3" t="n">
        <v>45967</v>
      </c>
      <c r="BU4" s="2" t="inlineStr">
        <is>
          <t>NEGATIVO</t>
        </is>
      </c>
      <c r="BV4" s="4">
        <f>IFERROR(IF(DATEDIF(AE4,BT4,"D")/7&lt;14,"1 Trim",IF(DATEDIF(AE4,BT4,"D")/7&lt;28,"2 Trim","3 Trim")),0)</f>
        <v/>
      </c>
      <c r="BW4" s="3" t="inlineStr">
        <is>
          <t>1845-01-01</t>
        </is>
      </c>
      <c r="BX4" s="2" t="inlineStr">
        <is>
          <t>SIN DATO</t>
        </is>
      </c>
      <c r="BY4" s="4">
        <f>IFERROR(IF(DATEDIF(AE4,BW4,"D")/7&lt;14,"1 Trim",IF(DATEDIF(AE4,BW4,"D")/7&lt;28,"2 Trim","3 Trim")),0)</f>
        <v/>
      </c>
      <c r="BZ4" s="3" t="inlineStr">
        <is>
          <t>1845-01-01</t>
        </is>
      </c>
      <c r="CA4" s="2" t="inlineStr">
        <is>
          <t>SIN DATO</t>
        </is>
      </c>
      <c r="CB4" s="4">
        <f>IFERROR(IF(DATEDIF(AE4,BZ4,"D")/7&lt;14,"1 Trim",IF(DATEDIF(AE4,BZ4,"D")/7&lt;28,"2 Trim","3 Trim")),0)</f>
        <v/>
      </c>
      <c r="CC4" s="3" t="n">
        <v>45967</v>
      </c>
      <c r="CD4" s="2" t="inlineStr">
        <is>
          <t>NEGATIVO</t>
        </is>
      </c>
      <c r="CE4" s="4">
        <f>IFERROR(IF(DATEDIF(AE4,CC4,"D")/7&lt;14,"1 Trim",IF(DATEDIF(AE4,CC4,"D")/7&lt;28,"2 Trim","3 Trim")),0)</f>
        <v/>
      </c>
      <c r="CF4" s="3" t="inlineStr">
        <is>
          <t>1845-01-01</t>
        </is>
      </c>
      <c r="CG4" s="2" t="inlineStr">
        <is>
          <t>SIN DATO</t>
        </is>
      </c>
      <c r="CH4" s="4">
        <f>IFERROR(IF(DATEDIF(AE4,CF4,"D")/7&lt;14,"1 Trim",IF(DATEDIF(AE4,CF4,"D")/7&lt;28,"2 Trim","3 Trim")),0)</f>
        <v/>
      </c>
      <c r="CI4" s="3" t="inlineStr">
        <is>
          <t>1845-01-01</t>
        </is>
      </c>
      <c r="CJ4" s="2" t="inlineStr">
        <is>
          <t>SIN DATO</t>
        </is>
      </c>
      <c r="CK4" s="6">
        <f>IFERROR(IF(DATEDIF(AE4,CI4,"D")/7&lt;14,"1 Trim",IF(DATEDIF(AE4,CI4,"D")/7&lt;28,"2 Trim","3 Trim")),"SIN DATO")</f>
        <v/>
      </c>
      <c r="CL4" s="3" t="inlineStr">
        <is>
          <t>1845-01-01</t>
        </is>
      </c>
      <c r="CM4" s="4">
        <f>IFERROR(IF(DATEDIF(AE4,CL4,"D")/7&lt;14,"1 Trim",IF(DATEDIF(AE4,CL4,"D")/7&lt;27,"2 Trim","3 Trim")),0)</f>
        <v/>
      </c>
      <c r="CN4" s="3" t="inlineStr">
        <is>
          <t>1845-01-01</t>
        </is>
      </c>
      <c r="CO4" s="2" t="inlineStr">
        <is>
          <t>SIN DATO</t>
        </is>
      </c>
      <c r="CP4" s="3" t="inlineStr">
        <is>
          <t>1845-01-01</t>
        </is>
      </c>
      <c r="CQ4" s="3" t="inlineStr">
        <is>
          <t>1845-01-01</t>
        </is>
      </c>
      <c r="CR4" s="3" t="inlineStr">
        <is>
          <t>1845-01-01</t>
        </is>
      </c>
      <c r="CS4" s="3" t="inlineStr">
        <is>
          <t>1845-01-01</t>
        </is>
      </c>
      <c r="CT4" s="2" t="inlineStr">
        <is>
          <t>SIN DATO</t>
        </is>
      </c>
      <c r="CU4" s="3" t="inlineStr">
        <is>
          <t>1845-01-01</t>
        </is>
      </c>
      <c r="CV4" s="2" t="n">
        <v>0</v>
      </c>
      <c r="CW4" s="3" t="inlineStr">
        <is>
          <t>1845-01-01</t>
        </is>
      </c>
      <c r="CX4" s="2" t="n">
        <v>0</v>
      </c>
      <c r="CY4" s="3" t="n">
        <v>45967</v>
      </c>
      <c r="CZ4" s="2" t="n">
        <v>12.5</v>
      </c>
      <c r="DA4" s="2" t="inlineStr">
        <is>
          <t>0+</t>
        </is>
      </c>
      <c r="DB4" s="3" t="n">
        <v>45967</v>
      </c>
      <c r="DC4" s="2" t="inlineStr">
        <is>
          <t>NEGATIVO</t>
        </is>
      </c>
      <c r="DD4" s="3" t="n">
        <v>45967</v>
      </c>
      <c r="DE4" s="2" t="inlineStr">
        <is>
          <t>NEGATIVO</t>
        </is>
      </c>
      <c r="DF4" s="3" t="inlineStr">
        <is>
          <t>1845-01-01</t>
        </is>
      </c>
      <c r="DG4" s="2" t="inlineStr">
        <is>
          <t>SIN DATO</t>
        </is>
      </c>
      <c r="DH4" s="3" t="inlineStr">
        <is>
          <t>1845-01-01</t>
        </is>
      </c>
      <c r="DI4" s="2" t="inlineStr">
        <is>
          <t>SIN DATO</t>
        </is>
      </c>
      <c r="DJ4" s="3" t="inlineStr">
        <is>
          <t>1845-01-01</t>
        </is>
      </c>
      <c r="DK4" s="2" t="inlineStr">
        <is>
          <t>SIN DATO</t>
        </is>
      </c>
      <c r="DL4" s="3" t="inlineStr">
        <is>
          <t>1845-01-01</t>
        </is>
      </c>
      <c r="DM4" s="2" t="inlineStr">
        <is>
          <t>SIN DATO</t>
        </is>
      </c>
      <c r="DN4" s="3" t="inlineStr">
        <is>
          <t>1845-01-01</t>
        </is>
      </c>
      <c r="DO4" s="2" t="inlineStr">
        <is>
          <t>SIN DATO</t>
        </is>
      </c>
      <c r="DP4" s="3" t="inlineStr">
        <is>
          <t>1845-01-01</t>
        </is>
      </c>
      <c r="DQ4" s="3" t="inlineStr">
        <is>
          <t>1845-01-01</t>
        </is>
      </c>
      <c r="DR4" s="3" t="inlineStr">
        <is>
          <t>1845-01-01</t>
        </is>
      </c>
      <c r="DS4" s="3" t="n">
        <v>45966</v>
      </c>
      <c r="DT4" s="3" t="inlineStr">
        <is>
          <t>1845-01-01</t>
        </is>
      </c>
      <c r="DU4" s="3" t="inlineStr">
        <is>
          <t>1845-01-01</t>
        </is>
      </c>
      <c r="DV4" s="3" t="inlineStr">
        <is>
          <t>1845-01-01</t>
        </is>
      </c>
      <c r="DW4" s="3" t="inlineStr">
        <is>
          <t>1845-01-01</t>
        </is>
      </c>
      <c r="DX4" s="3" t="n">
        <v>46049</v>
      </c>
      <c r="DY4" s="3" t="n">
        <v>46049</v>
      </c>
      <c r="DZ4" s="3" t="inlineStr">
        <is>
          <t>1845-01-01</t>
        </is>
      </c>
      <c r="EA4" s="3" t="inlineStr">
        <is>
          <t>1845-01-01</t>
        </is>
      </c>
      <c r="EB4" s="3" t="n">
        <v>45966</v>
      </c>
      <c r="EC4" s="2" t="inlineStr">
        <is>
          <t>medico</t>
        </is>
      </c>
      <c r="ED4" s="3" t="n">
        <v>46007</v>
      </c>
      <c r="EE4" s="2" t="inlineStr">
        <is>
          <t>medico</t>
        </is>
      </c>
      <c r="EF4" s="3" t="n">
        <v>46049</v>
      </c>
      <c r="EG4" s="2" t="inlineStr">
        <is>
          <t>medico</t>
        </is>
      </c>
      <c r="EH4" s="3" t="inlineStr">
        <is>
          <t>1845-01-01</t>
        </is>
      </c>
      <c r="EI4" s="2" t="inlineStr">
        <is>
          <t>SIN DATO</t>
        </is>
      </c>
      <c r="EJ4" s="3" t="inlineStr">
        <is>
          <t>1845-01-01</t>
        </is>
      </c>
      <c r="EK4" s="2" t="inlineStr">
        <is>
          <t>SIN DATO</t>
        </is>
      </c>
      <c r="EL4" s="3" t="inlineStr">
        <is>
          <t>1845-01-01</t>
        </is>
      </c>
      <c r="EM4" s="2" t="inlineStr">
        <is>
          <t>SIN DATO</t>
        </is>
      </c>
      <c r="EN4" s="3" t="inlineStr">
        <is>
          <t>1845-01-01</t>
        </is>
      </c>
      <c r="EO4" s="2" t="inlineStr">
        <is>
          <t>SIN DATO</t>
        </is>
      </c>
      <c r="EP4" s="3" t="inlineStr">
        <is>
          <t>1845-01-01</t>
        </is>
      </c>
      <c r="EQ4" s="2" t="inlineStr">
        <is>
          <t>SIN DATO</t>
        </is>
      </c>
      <c r="ER4" s="3" t="inlineStr">
        <is>
          <t>1845-01-01</t>
        </is>
      </c>
      <c r="ES4" s="2" t="inlineStr">
        <is>
          <t>SIN DATO</t>
        </is>
      </c>
      <c r="ET4" s="4">
        <f>IFERROR(COUNTIF(EB4,"&gt;0")+COUNTIF(ED4,"&gt;0")+COUNTIF(EF4,"&gt;0")+COUNTIF(EH4,"&gt;0")+COUNTIF(EJ4,"&gt;0")+COUNTIF(EL4,"&gt;0")+COUNTIF(EN4,"&gt;0")+COUNTIF(EP4,"&gt;0")+COUNTIF(ER4,"&gt;0"),0)</f>
        <v/>
      </c>
      <c r="EU4" s="5">
        <f>IF(MAX(EB4,ED4,EF4,EH4,EJ4,EL4,EN4,EP4,ER4)=0,"1845-01-01",MAX(EB4,ED4,EF4,EH4,EJ4,EL4,EN4,EP4,ER4))</f>
        <v/>
      </c>
      <c r="EV4" s="4">
        <f>IF(OR(AE4="",EU4="1845-01-01"),0,IFERROR(DATEDIF(AE4,EU4,"D")/7,0))</f>
        <v/>
      </c>
      <c r="EW4" s="2" t="n">
        <v>68</v>
      </c>
      <c r="EX4" s="2" t="n">
        <v>1.62</v>
      </c>
      <c r="EY4" s="7">
        <f>IFERROR(IF(OR(EW4="",EX4=""),0,EW4/EX4^2),0)</f>
        <v/>
      </c>
      <c r="EZ4" s="2" t="inlineStr">
        <is>
          <t>0</t>
        </is>
      </c>
      <c r="FA4" s="3" t="n">
        <v>45966</v>
      </c>
      <c r="FB4" s="3" t="inlineStr">
        <is>
          <t>1845-01-01</t>
        </is>
      </c>
      <c r="FC4" s="3" t="inlineStr">
        <is>
          <t>1845-01-01</t>
        </is>
      </c>
      <c r="FD4" s="3" t="n">
        <v>45966</v>
      </c>
      <c r="FE4" s="3" t="n">
        <v>45966</v>
      </c>
      <c r="FF4" s="3" t="inlineStr">
        <is>
          <t>1845-01-01</t>
        </is>
      </c>
      <c r="FG4" s="2" t="inlineStr">
        <is>
          <t>SIN DATO</t>
        </is>
      </c>
      <c r="FH4" s="2" t="inlineStr">
        <is>
          <t>SIN DATO</t>
        </is>
      </c>
      <c r="FI4" s="3" t="inlineStr">
        <is>
          <t>1845-01-01</t>
        </is>
      </c>
      <c r="FJ4" s="2" t="n">
        <v>0</v>
      </c>
      <c r="FK4" s="2" t="inlineStr">
        <is>
          <t>SIN DATO</t>
        </is>
      </c>
      <c r="FL4" s="3" t="inlineStr">
        <is>
          <t>1845-01-01</t>
        </is>
      </c>
      <c r="FM4" s="2" t="inlineStr">
        <is>
          <t>SIN DATO</t>
        </is>
      </c>
      <c r="FN4" s="2" t="inlineStr">
        <is>
          <t>SIN DATO</t>
        </is>
      </c>
      <c r="FO4" s="2" t="n">
        <v>0</v>
      </c>
      <c r="FP4" s="2" t="inlineStr">
        <is>
          <t>SIN DATO</t>
        </is>
      </c>
      <c r="FQ4" s="2" t="inlineStr">
        <is>
          <t>SIN DATO</t>
        </is>
      </c>
      <c r="FR4" s="2" t="inlineStr">
        <is>
          <t>SIN DATO</t>
        </is>
      </c>
      <c r="FS4" s="2" t="inlineStr">
        <is>
          <t>NO</t>
        </is>
      </c>
      <c r="FT4" s="2" t="inlineStr">
        <is>
          <t>SIN DATO</t>
        </is>
      </c>
      <c r="FU4" s="3" t="inlineStr">
        <is>
          <t>1845-01-01</t>
        </is>
      </c>
      <c r="FV4" s="2" t="inlineStr">
        <is>
          <t>SIN DATO</t>
        </is>
      </c>
      <c r="FW4" s="2" t="inlineStr">
        <is>
          <t>SIN DATO</t>
        </is>
      </c>
      <c r="FX4" s="2" t="n">
        <v>0</v>
      </c>
      <c r="FY4" s="2" t="inlineStr">
        <is>
          <t>SIN DATO</t>
        </is>
      </c>
      <c r="FZ4" s="2" t="inlineStr">
        <is>
          <t>SIN DATO</t>
        </is>
      </c>
      <c r="GA4" s="2" t="n">
        <v>0</v>
      </c>
      <c r="GB4" s="2" t="inlineStr">
        <is>
          <t>SIN DATO</t>
        </is>
      </c>
      <c r="GC4" s="2" t="inlineStr">
        <is>
          <t>SIN DATO</t>
        </is>
      </c>
      <c r="GD4" s="2" t="inlineStr">
        <is>
          <t>SIN DATO</t>
        </is>
      </c>
      <c r="GE4" s="2" t="inlineStr">
        <is>
          <t>SIN DATO</t>
        </is>
      </c>
      <c r="GF4" s="2" t="inlineStr">
        <is>
          <t>SIN DATO</t>
        </is>
      </c>
      <c r="GG4" s="2" t="inlineStr">
        <is>
          <t>SIN DATO</t>
        </is>
      </c>
      <c r="GH4" s="2" t="inlineStr">
        <is>
          <t>SIN DATO</t>
        </is>
      </c>
      <c r="GI4" s="2" t="inlineStr">
        <is>
          <t>SIN DATO</t>
        </is>
      </c>
      <c r="GJ4" s="2" t="n">
        <v>0</v>
      </c>
      <c r="GK4" s="2" t="inlineStr">
        <is>
          <t>SIN DATO</t>
        </is>
      </c>
      <c r="GL4" s="2" t="inlineStr">
        <is>
          <t>SIN DATO</t>
        </is>
      </c>
      <c r="GM4" s="2" t="n">
        <v>0</v>
      </c>
      <c r="GN4" s="2" t="inlineStr">
        <is>
          <t>SIN DATO</t>
        </is>
      </c>
      <c r="GO4" s="2" t="inlineStr">
        <is>
          <t>SIN DATO</t>
        </is>
      </c>
      <c r="GP4" s="2" t="inlineStr">
        <is>
          <t>SIN DATO</t>
        </is>
      </c>
      <c r="GQ4" s="2" t="inlineStr">
        <is>
          <t>SIN DATO</t>
        </is>
      </c>
      <c r="GR4" s="2" t="inlineStr">
        <is>
          <t>SIN DATO</t>
        </is>
      </c>
      <c r="GS4" s="2" t="inlineStr">
        <is>
          <t>SIN DATO</t>
        </is>
      </c>
      <c r="GT4" s="2" t="inlineStr">
        <is>
          <t>SIN DATO</t>
        </is>
      </c>
      <c r="GU4" s="2" t="inlineStr">
        <is>
          <t>SIN DATO</t>
        </is>
      </c>
      <c r="GV4" s="2" t="inlineStr">
        <is>
          <t>SIN DATO</t>
        </is>
      </c>
      <c r="GW4" s="2" t="inlineStr">
        <is>
          <t>SIN DATO</t>
        </is>
      </c>
      <c r="GX4" s="3" t="inlineStr">
        <is>
          <t>1845-01-01</t>
        </is>
      </c>
      <c r="GY4" s="2" t="inlineStr">
        <is>
          <t>SIN DATO</t>
        </is>
      </c>
    </row>
    <row r="5">
      <c r="A5" s="2" t="inlineStr">
        <is>
          <t>CC</t>
        </is>
      </c>
      <c r="B5" s="2" t="inlineStr">
        <is>
          <t>1131064482</t>
        </is>
      </c>
      <c r="C5" s="2" t="inlineStr">
        <is>
          <t>URIANA</t>
        </is>
      </c>
      <c r="D5" s="2" t="inlineStr">
        <is>
          <t>SIN DATO</t>
        </is>
      </c>
      <c r="E5" s="2" t="inlineStr">
        <is>
          <t>MARIA</t>
        </is>
      </c>
      <c r="F5" s="2" t="inlineStr">
        <is>
          <t>DEL CARMEN</t>
        </is>
      </c>
      <c r="G5" s="3" t="n">
        <v>38249</v>
      </c>
      <c r="H5" s="4">
        <f>IFERROR(IF(G5="",0,DATEDIF(G5,TODAY(),"Y")),0)</f>
        <v/>
      </c>
      <c r="I5" s="2" t="inlineStr">
        <is>
          <t>FEMENINO</t>
        </is>
      </c>
      <c r="J5" s="2" t="inlineStr">
        <is>
          <t>SUBSIDIADO</t>
        </is>
      </c>
      <c r="K5" s="2" t="inlineStr">
        <is>
          <t>INDIGENA</t>
        </is>
      </c>
      <c r="L5" s="2" t="inlineStr">
        <is>
          <t>Mujer Embarazada</t>
        </is>
      </c>
      <c r="M5" s="2" t="inlineStr">
        <is>
          <t>LA GUAJIRA</t>
        </is>
      </c>
      <c r="N5" s="2" t="n">
        <v>44035</v>
      </c>
      <c r="O5" s="2" t="inlineStr">
        <is>
          <t>RURAL</t>
        </is>
      </c>
      <c r="P5" s="2" t="inlineStr">
        <is>
          <t>WAYUU</t>
        </is>
      </c>
      <c r="Q5" s="2" t="inlineStr">
        <is>
          <t>COMUNIDAD INDIGENA WANAPAREPO</t>
        </is>
      </c>
      <c r="R5" s="2" t="inlineStr">
        <is>
          <t>3154149873</t>
        </is>
      </c>
      <c r="S5" s="2" t="inlineStr">
        <is>
          <t>COMUNIDAD INDIGENA WANAPAREPO</t>
        </is>
      </c>
      <c r="T5" s="2" t="inlineStr">
        <is>
          <t>basica primaria</t>
        </is>
      </c>
      <c r="U5" s="2" t="inlineStr">
        <is>
          <t>NO</t>
        </is>
      </c>
      <c r="V5" s="2" t="inlineStr">
        <is>
          <t>NO</t>
        </is>
      </c>
      <c r="W5" s="2" t="inlineStr">
        <is>
          <t>AMA DE CASA</t>
        </is>
      </c>
      <c r="X5" s="2" t="inlineStr">
        <is>
          <t>UNION LIBRE</t>
        </is>
      </c>
      <c r="Y5" s="2" t="inlineStr">
        <is>
          <t>NO APLICA</t>
        </is>
      </c>
      <c r="Z5" s="2" t="inlineStr">
        <is>
          <t>NO</t>
        </is>
      </c>
      <c r="AA5" s="2" t="inlineStr">
        <is>
          <t>NO</t>
        </is>
      </c>
      <c r="AB5" s="2" t="inlineStr">
        <is>
          <t>E.S.E HOSPITAL SAN RAFAEL DE ALBANIA</t>
        </is>
      </c>
      <c r="AC5" s="3" t="n">
        <v>46049</v>
      </c>
      <c r="AD5" s="3" t="n">
        <v>46049</v>
      </c>
      <c r="AE5" s="3" t="n">
        <v>45820</v>
      </c>
      <c r="AF5" s="5">
        <f>IFERROR(IF(AE5="","1845-01-01",AE5+280),"1845-01-01")</f>
        <v/>
      </c>
      <c r="AG5" s="4">
        <f>IFERROR(IF(AF5="",0,AF5-TODAY()),0)</f>
        <v/>
      </c>
      <c r="AH5" s="6">
        <f>IFERROR(IF(AG5="","SIN DATO",IF(AG5&lt;0,"Nacido",IF(AG5&lt;=7,"Semana de parto",IF(AG5&lt;=28,"Menos 4 sem","Pendiente")))),"SIN DATO")</f>
        <v/>
      </c>
      <c r="AI5" s="7">
        <f>IFERROR(IF(OR(AE5="",AD5=""),0,DATEDIF(AE5,AD5,"D")/7),0)</f>
        <v/>
      </c>
      <c r="AJ5" s="6">
        <f>IFERROR(IF(AI5="","SIN DATO",IF(AI5&lt;14,"1 Trim",IF(AI5&lt;28,"2 Trim","3 Trim"))),"SIN DATO")</f>
        <v/>
      </c>
      <c r="AK5" s="2" t="n">
        <v>1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inlineStr">
        <is>
          <t>NO</t>
        </is>
      </c>
      <c r="AR5" s="2" t="inlineStr">
        <is>
          <t>NO</t>
        </is>
      </c>
      <c r="AS5" s="2" t="inlineStr">
        <is>
          <t>No</t>
        </is>
      </c>
      <c r="AT5" s="2" t="inlineStr">
        <is>
          <t>No</t>
        </is>
      </c>
      <c r="AU5" s="2" t="inlineStr">
        <is>
          <t>No</t>
        </is>
      </c>
      <c r="AV5" s="2" t="inlineStr">
        <is>
          <t>NO</t>
        </is>
      </c>
      <c r="AW5" s="2" t="inlineStr">
        <is>
          <t>NO</t>
        </is>
      </c>
      <c r="AX5" s="2" t="inlineStr">
        <is>
          <t>NO</t>
        </is>
      </c>
      <c r="AY5" s="2" t="inlineStr">
        <is>
          <t>0</t>
        </is>
      </c>
      <c r="AZ5" s="2" t="n">
        <v>64</v>
      </c>
      <c r="BA5" s="2" t="n">
        <v>1.44</v>
      </c>
      <c r="BB5" s="7">
        <f>IFERROR(IF(OR(AZ5="",BA5=""),0,AZ5/BA5^2),0)</f>
        <v/>
      </c>
      <c r="BC5" s="6">
        <f>IFERROR(IF(BB5="","SIN DATO",IF(BB5&lt;18.5,"Bajo peso",IF(BB5&lt;25,"Peso normal",IF(BB5&lt;30,"Sobrepeso",IF(BB5&lt;35,"Obesidad grado 1",IF(BB5&lt;40,"Obesidad grado 2","Obesidad grado 3")))))),"SIN DATO")</f>
        <v/>
      </c>
      <c r="BD5" s="2" t="inlineStr">
        <is>
          <t>SI</t>
        </is>
      </c>
      <c r="BE5" s="2" t="inlineStr">
        <is>
          <t>SI</t>
        </is>
      </c>
      <c r="BF5" s="2" t="inlineStr">
        <is>
          <t>NO</t>
        </is>
      </c>
      <c r="BG5" s="2" t="inlineStr">
        <is>
          <t>NO</t>
        </is>
      </c>
      <c r="BH5" s="2" t="inlineStr">
        <is>
          <t>NO</t>
        </is>
      </c>
      <c r="BI5" s="2" t="inlineStr">
        <is>
          <t>NO</t>
        </is>
      </c>
      <c r="BJ5" s="2" t="inlineStr">
        <is>
          <t>CLASIFICACION DEL RIESGO ALTO</t>
        </is>
      </c>
      <c r="BK5" s="2" t="inlineStr">
        <is>
          <t>ARO POR RURAL DISPERSA</t>
        </is>
      </c>
      <c r="BL5" s="2" t="inlineStr">
        <is>
          <t>SIN DATO</t>
        </is>
      </c>
      <c r="BM5" s="2" t="inlineStr">
        <is>
          <t>SI</t>
        </is>
      </c>
      <c r="BN5" s="2" t="inlineStr">
        <is>
          <t>GINECOLOGIA</t>
        </is>
      </c>
      <c r="BO5" s="3" t="n">
        <v>46049</v>
      </c>
      <c r="BP5" s="4">
        <f>IFERROR(IF(DATEDIF(AE5,BO5,"D")/7&lt;14,"1 Trim",IF(DATEDIF(AE5,BO5,"D")/7&lt;28,"2 Trim","3 Trim")),0)</f>
        <v/>
      </c>
      <c r="BQ5" s="3" t="inlineStr">
        <is>
          <t>1845-01-01</t>
        </is>
      </c>
      <c r="BR5" s="2" t="inlineStr">
        <is>
          <t>SIN DATO</t>
        </is>
      </c>
      <c r="BS5" s="4">
        <f>IFERROR(IF(DATEDIF(AE5,BQ5,"D")/7&lt;14,"1 Trim",IF(DATEDIF(AE5,BQ5,"D")/7&lt;28,"2 Trim","3 Trim")),0)</f>
        <v/>
      </c>
      <c r="BT5" s="3" t="inlineStr">
        <is>
          <t>1845-01-01</t>
        </is>
      </c>
      <c r="BU5" s="2" t="inlineStr">
        <is>
          <t>SIN DATO</t>
        </is>
      </c>
      <c r="BV5" s="4">
        <f>IFERROR(IF(DATEDIF(AE5,BT5,"D")/7&lt;14,"1 Trim",IF(DATEDIF(AE5,BT5,"D")/7&lt;28,"2 Trim","3 Trim")),0)</f>
        <v/>
      </c>
      <c r="BW5" s="3" t="inlineStr">
        <is>
          <t>1845-01-01</t>
        </is>
      </c>
      <c r="BX5" s="2" t="inlineStr">
        <is>
          <t>SIN DATO</t>
        </is>
      </c>
      <c r="BY5" s="4">
        <f>IFERROR(IF(DATEDIF(AE5,BW5,"D")/7&lt;14,"1 Trim",IF(DATEDIF(AE5,BW5,"D")/7&lt;28,"2 Trim","3 Trim")),0)</f>
        <v/>
      </c>
      <c r="BZ5" s="3" t="inlineStr">
        <is>
          <t>1845-01-01</t>
        </is>
      </c>
      <c r="CA5" s="2" t="inlineStr">
        <is>
          <t>SIN DATO</t>
        </is>
      </c>
      <c r="CB5" s="4">
        <f>IFERROR(IF(DATEDIF(AE5,BZ5,"D")/7&lt;14,"1 Trim",IF(DATEDIF(AE5,BZ5,"D")/7&lt;28,"2 Trim","3 Trim")),0)</f>
        <v/>
      </c>
      <c r="CC5" s="3" t="inlineStr">
        <is>
          <t>1845-01-01</t>
        </is>
      </c>
      <c r="CD5" s="2" t="inlineStr">
        <is>
          <t>SIN DATO</t>
        </is>
      </c>
      <c r="CE5" s="4">
        <f>IFERROR(IF(DATEDIF(AE5,CC5,"D")/7&lt;14,"1 Trim",IF(DATEDIF(AE5,CC5,"D")/7&lt;28,"2 Trim","3 Trim")),0)</f>
        <v/>
      </c>
      <c r="CF5" s="3" t="inlineStr">
        <is>
          <t>1845-01-01</t>
        </is>
      </c>
      <c r="CG5" s="2" t="inlineStr">
        <is>
          <t>SIN DATO</t>
        </is>
      </c>
      <c r="CH5" s="4">
        <f>IFERROR(IF(DATEDIF(AE5,CF5,"D")/7&lt;14,"1 Trim",IF(DATEDIF(AE5,CF5,"D")/7&lt;28,"2 Trim","3 Trim")),0)</f>
        <v/>
      </c>
      <c r="CI5" s="3" t="inlineStr">
        <is>
          <t>1845-01-01</t>
        </is>
      </c>
      <c r="CJ5" s="2" t="inlineStr">
        <is>
          <t>SIN DATO</t>
        </is>
      </c>
      <c r="CK5" s="6">
        <f>IFERROR(IF(DATEDIF(AE5,CI5,"D")/7&lt;14,"1 Trim",IF(DATEDIF(AE5,CI5,"D")/7&lt;28,"2 Trim","3 Trim")),"SIN DATO")</f>
        <v/>
      </c>
      <c r="CL5" s="3" t="inlineStr">
        <is>
          <t>1845-01-01</t>
        </is>
      </c>
      <c r="CM5" s="4">
        <f>IFERROR(IF(DATEDIF(AE5,CL5,"D")/7&lt;14,"1 Trim",IF(DATEDIF(AE5,CL5,"D")/7&lt;27,"2 Trim","3 Trim")),0)</f>
        <v/>
      </c>
      <c r="CN5" s="3" t="inlineStr">
        <is>
          <t>1845-01-01</t>
        </is>
      </c>
      <c r="CO5" s="2" t="inlineStr">
        <is>
          <t>SIN DATO</t>
        </is>
      </c>
      <c r="CP5" s="3" t="inlineStr">
        <is>
          <t>1845-01-01</t>
        </is>
      </c>
      <c r="CQ5" s="3" t="inlineStr">
        <is>
          <t>1845-01-01</t>
        </is>
      </c>
      <c r="CR5" s="3" t="inlineStr">
        <is>
          <t>1845-01-01</t>
        </is>
      </c>
      <c r="CS5" s="3" t="inlineStr">
        <is>
          <t>1845-01-01</t>
        </is>
      </c>
      <c r="CT5" s="2" t="inlineStr">
        <is>
          <t>SIN DATO</t>
        </is>
      </c>
      <c r="CU5" s="3" t="inlineStr">
        <is>
          <t>1845-01-01</t>
        </is>
      </c>
      <c r="CV5" s="2" t="n">
        <v>0</v>
      </c>
      <c r="CW5" s="3" t="inlineStr">
        <is>
          <t>1845-01-01</t>
        </is>
      </c>
      <c r="CX5" s="2" t="n">
        <v>0</v>
      </c>
      <c r="CY5" s="3" t="inlineStr">
        <is>
          <t>1845-01-01</t>
        </is>
      </c>
      <c r="CZ5" s="2" t="n">
        <v>0</v>
      </c>
      <c r="DA5" s="2" t="inlineStr">
        <is>
          <t>SIN DATO</t>
        </is>
      </c>
      <c r="DB5" s="3" t="inlineStr">
        <is>
          <t>1845-01-01</t>
        </is>
      </c>
      <c r="DC5" s="2" t="inlineStr">
        <is>
          <t>SIN DATO</t>
        </is>
      </c>
      <c r="DD5" s="3" t="inlineStr">
        <is>
          <t>1845-01-01</t>
        </is>
      </c>
      <c r="DE5" s="2" t="inlineStr">
        <is>
          <t>SIN DATO</t>
        </is>
      </c>
      <c r="DF5" s="3" t="inlineStr">
        <is>
          <t>1845-01-01</t>
        </is>
      </c>
      <c r="DG5" s="2" t="inlineStr">
        <is>
          <t>SIN DATO</t>
        </is>
      </c>
      <c r="DH5" s="3" t="inlineStr">
        <is>
          <t>1845-01-01</t>
        </is>
      </c>
      <c r="DI5" s="2" t="inlineStr">
        <is>
          <t>SIN DATO</t>
        </is>
      </c>
      <c r="DJ5" s="3" t="inlineStr">
        <is>
          <t>1845-01-01</t>
        </is>
      </c>
      <c r="DK5" s="2" t="inlineStr">
        <is>
          <t>SIN DATO</t>
        </is>
      </c>
      <c r="DL5" s="3" t="inlineStr">
        <is>
          <t>1845-01-01</t>
        </is>
      </c>
      <c r="DM5" s="2" t="inlineStr">
        <is>
          <t>SIN DATO</t>
        </is>
      </c>
      <c r="DN5" s="3" t="inlineStr">
        <is>
          <t>1845-01-01</t>
        </is>
      </c>
      <c r="DO5" s="2" t="inlineStr">
        <is>
          <t>SIN DATO</t>
        </is>
      </c>
      <c r="DP5" s="3" t="inlineStr">
        <is>
          <t>1845-01-01</t>
        </is>
      </c>
      <c r="DQ5" s="3" t="inlineStr">
        <is>
          <t>1845-01-01</t>
        </is>
      </c>
      <c r="DR5" s="3" t="inlineStr">
        <is>
          <t>1845-01-01</t>
        </is>
      </c>
      <c r="DS5" s="3" t="n">
        <v>46049</v>
      </c>
      <c r="DT5" s="3" t="inlineStr">
        <is>
          <t>1845-01-01</t>
        </is>
      </c>
      <c r="DU5" s="3" t="inlineStr">
        <is>
          <t>1845-01-01</t>
        </is>
      </c>
      <c r="DV5" s="3" t="inlineStr">
        <is>
          <t>1845-01-01</t>
        </is>
      </c>
      <c r="DW5" s="3" t="inlineStr">
        <is>
          <t>1845-01-01</t>
        </is>
      </c>
      <c r="DX5" s="3" t="n">
        <v>46049</v>
      </c>
      <c r="DY5" s="3" t="n">
        <v>46049</v>
      </c>
      <c r="DZ5" s="3" t="inlineStr">
        <is>
          <t>1845-01-01</t>
        </is>
      </c>
      <c r="EA5" s="3" t="inlineStr">
        <is>
          <t>1845-01-01</t>
        </is>
      </c>
      <c r="EB5" s="3" t="n">
        <v>46049</v>
      </c>
      <c r="EC5" s="2" t="inlineStr">
        <is>
          <t>medico</t>
        </is>
      </c>
      <c r="ED5" s="3" t="inlineStr">
        <is>
          <t>1845-01-01</t>
        </is>
      </c>
      <c r="EE5" s="2" t="inlineStr">
        <is>
          <t>SIN DATO</t>
        </is>
      </c>
      <c r="EF5" s="3" t="inlineStr">
        <is>
          <t>1845-01-01</t>
        </is>
      </c>
      <c r="EG5" s="2" t="inlineStr">
        <is>
          <t>SIN DATO</t>
        </is>
      </c>
      <c r="EH5" s="3" t="inlineStr">
        <is>
          <t>1845-01-01</t>
        </is>
      </c>
      <c r="EI5" s="2" t="inlineStr">
        <is>
          <t>SIN DATO</t>
        </is>
      </c>
      <c r="EJ5" s="3" t="inlineStr">
        <is>
          <t>1845-01-01</t>
        </is>
      </c>
      <c r="EK5" s="2" t="inlineStr">
        <is>
          <t>SIN DATO</t>
        </is>
      </c>
      <c r="EL5" s="3" t="inlineStr">
        <is>
          <t>1845-01-01</t>
        </is>
      </c>
      <c r="EM5" s="2" t="inlineStr">
        <is>
          <t>SIN DATO</t>
        </is>
      </c>
      <c r="EN5" s="3" t="inlineStr">
        <is>
          <t>1845-01-01</t>
        </is>
      </c>
      <c r="EO5" s="2" t="inlineStr">
        <is>
          <t>SIN DATO</t>
        </is>
      </c>
      <c r="EP5" s="3" t="inlineStr">
        <is>
          <t>1845-01-01</t>
        </is>
      </c>
      <c r="EQ5" s="2" t="inlineStr">
        <is>
          <t>SIN DATO</t>
        </is>
      </c>
      <c r="ER5" s="3" t="inlineStr">
        <is>
          <t>1845-01-01</t>
        </is>
      </c>
      <c r="ES5" s="2" t="inlineStr">
        <is>
          <t>SIN DATO</t>
        </is>
      </c>
      <c r="ET5" s="4">
        <f>IFERROR(COUNTIF(EB5,"&gt;0")+COUNTIF(ED5,"&gt;0")+COUNTIF(EF5,"&gt;0")+COUNTIF(EH5,"&gt;0")+COUNTIF(EJ5,"&gt;0")+COUNTIF(EL5,"&gt;0")+COUNTIF(EN5,"&gt;0")+COUNTIF(EP5,"&gt;0")+COUNTIF(ER5,"&gt;0"),0)</f>
        <v/>
      </c>
      <c r="EU5" s="5">
        <f>IF(MAX(EB5,ED5,EF5,EH5,EJ5,EL5,EN5,EP5,ER5)=0,"1845-01-01",MAX(EB5,ED5,EF5,EH5,EJ5,EL5,EN5,EP5,ER5))</f>
        <v/>
      </c>
      <c r="EV5" s="4">
        <f>IF(OR(AE5="",EU5="1845-01-01"),0,IFERROR(DATEDIF(AE5,EU5,"D")/7,0))</f>
        <v/>
      </c>
      <c r="EW5" s="2" t="n">
        <v>64</v>
      </c>
      <c r="EX5" s="2" t="n">
        <v>1.44</v>
      </c>
      <c r="EY5" s="7">
        <f>IFERROR(IF(OR(EW5="",EX5=""),0,EW5/EX5^2),0)</f>
        <v/>
      </c>
      <c r="EZ5" s="2" t="inlineStr">
        <is>
          <t>0</t>
        </is>
      </c>
      <c r="FA5" s="3" t="n">
        <v>46049</v>
      </c>
      <c r="FB5" s="3" t="inlineStr">
        <is>
          <t>1845-01-01</t>
        </is>
      </c>
      <c r="FC5" s="3" t="n">
        <v>46049</v>
      </c>
      <c r="FD5" s="3" t="n">
        <v>46049</v>
      </c>
      <c r="FE5" s="3" t="n">
        <v>46049</v>
      </c>
      <c r="FF5" s="3" t="inlineStr">
        <is>
          <t>1845-01-01</t>
        </is>
      </c>
      <c r="FG5" s="2" t="inlineStr">
        <is>
          <t>SIN DATO</t>
        </is>
      </c>
      <c r="FH5" s="2" t="inlineStr">
        <is>
          <t>SIN DATO</t>
        </is>
      </c>
      <c r="FI5" s="3" t="inlineStr">
        <is>
          <t>1845-01-01</t>
        </is>
      </c>
      <c r="FJ5" s="2" t="n">
        <v>0</v>
      </c>
      <c r="FK5" s="2" t="inlineStr">
        <is>
          <t>SIN DATO</t>
        </is>
      </c>
      <c r="FL5" s="3" t="inlineStr">
        <is>
          <t>1845-01-01</t>
        </is>
      </c>
      <c r="FM5" s="2" t="inlineStr">
        <is>
          <t>SIN DATO</t>
        </is>
      </c>
      <c r="FN5" s="2" t="inlineStr">
        <is>
          <t>SIN DATO</t>
        </is>
      </c>
      <c r="FO5" s="2" t="n">
        <v>0</v>
      </c>
      <c r="FP5" s="2" t="inlineStr">
        <is>
          <t>SIN DATO</t>
        </is>
      </c>
      <c r="FQ5" s="2" t="inlineStr">
        <is>
          <t>SIN DATO</t>
        </is>
      </c>
      <c r="FR5" s="2" t="inlineStr">
        <is>
          <t>SIN DATO</t>
        </is>
      </c>
      <c r="FS5" s="2" t="inlineStr">
        <is>
          <t>NO</t>
        </is>
      </c>
      <c r="FT5" s="2" t="inlineStr">
        <is>
          <t>SIN DATO</t>
        </is>
      </c>
      <c r="FU5" s="3" t="inlineStr">
        <is>
          <t>1845-01-01</t>
        </is>
      </c>
      <c r="FV5" s="2" t="inlineStr">
        <is>
          <t>SIN DATO</t>
        </is>
      </c>
      <c r="FW5" s="2" t="inlineStr">
        <is>
          <t>SIN DATO</t>
        </is>
      </c>
      <c r="FX5" s="2" t="n">
        <v>0</v>
      </c>
      <c r="FY5" s="2" t="inlineStr">
        <is>
          <t>SIN DATO</t>
        </is>
      </c>
      <c r="FZ5" s="2" t="inlineStr">
        <is>
          <t>SIN DATO</t>
        </is>
      </c>
      <c r="GA5" s="2" t="n">
        <v>0</v>
      </c>
      <c r="GB5" s="2" t="inlineStr">
        <is>
          <t>SIN DATO</t>
        </is>
      </c>
      <c r="GC5" s="2" t="inlineStr">
        <is>
          <t>SIN DATO</t>
        </is>
      </c>
      <c r="GD5" s="2" t="inlineStr">
        <is>
          <t>SIN DATO</t>
        </is>
      </c>
      <c r="GE5" s="2" t="inlineStr">
        <is>
          <t>SIN DATO</t>
        </is>
      </c>
      <c r="GF5" s="2" t="inlineStr">
        <is>
          <t>SIN DATO</t>
        </is>
      </c>
      <c r="GG5" s="2" t="inlineStr">
        <is>
          <t>SIN DATO</t>
        </is>
      </c>
      <c r="GH5" s="2" t="inlineStr">
        <is>
          <t>SIN DATO</t>
        </is>
      </c>
      <c r="GI5" s="2" t="inlineStr">
        <is>
          <t>SIN DATO</t>
        </is>
      </c>
      <c r="GJ5" s="2" t="n">
        <v>0</v>
      </c>
      <c r="GK5" s="2" t="inlineStr">
        <is>
          <t>SIN DATO</t>
        </is>
      </c>
      <c r="GL5" s="2" t="inlineStr">
        <is>
          <t>SIN DATO</t>
        </is>
      </c>
      <c r="GM5" s="2" t="n">
        <v>0</v>
      </c>
      <c r="GN5" s="2" t="inlineStr">
        <is>
          <t>SIN DATO</t>
        </is>
      </c>
      <c r="GO5" s="2" t="inlineStr">
        <is>
          <t>SIN DATO</t>
        </is>
      </c>
      <c r="GP5" s="2" t="inlineStr">
        <is>
          <t>SIN DATO</t>
        </is>
      </c>
      <c r="GQ5" s="2" t="inlineStr">
        <is>
          <t>SIN DATO</t>
        </is>
      </c>
      <c r="GR5" s="2" t="inlineStr">
        <is>
          <t>SIN DATO</t>
        </is>
      </c>
      <c r="GS5" s="2" t="inlineStr">
        <is>
          <t>SIN DATO</t>
        </is>
      </c>
      <c r="GT5" s="2" t="inlineStr">
        <is>
          <t>SIN DATO</t>
        </is>
      </c>
      <c r="GU5" s="2" t="inlineStr">
        <is>
          <t>SIN DATO</t>
        </is>
      </c>
      <c r="GV5" s="2" t="inlineStr">
        <is>
          <t>SIN DATO</t>
        </is>
      </c>
      <c r="GW5" s="2" t="inlineStr">
        <is>
          <t>SIN DATO</t>
        </is>
      </c>
      <c r="GX5" s="3" t="inlineStr">
        <is>
          <t>1845-01-01</t>
        </is>
      </c>
      <c r="GY5" s="2" t="inlineStr">
        <is>
          <t>SIN DATO</t>
        </is>
      </c>
    </row>
    <row r="6">
      <c r="A6" s="2" t="inlineStr">
        <is>
          <t>TI</t>
        </is>
      </c>
      <c r="B6" s="2" t="inlineStr">
        <is>
          <t>1131066884</t>
        </is>
      </c>
      <c r="C6" s="2" t="inlineStr">
        <is>
          <t>IPUANA</t>
        </is>
      </c>
      <c r="D6" s="2" t="inlineStr">
        <is>
          <t>GOURIYU</t>
        </is>
      </c>
      <c r="E6" s="2" t="inlineStr">
        <is>
          <t>CLAUDIA</t>
        </is>
      </c>
      <c r="F6" s="2" t="inlineStr">
        <is>
          <t>ISABEL</t>
        </is>
      </c>
      <c r="G6" s="3" t="n">
        <v>38991</v>
      </c>
      <c r="H6" s="4">
        <f>IFERROR(IF(G6="",0,DATEDIF(G6,TODAY(),"Y")),0)</f>
        <v/>
      </c>
      <c r="I6" s="2" t="inlineStr">
        <is>
          <t>FEMENINO</t>
        </is>
      </c>
      <c r="J6" s="2" t="inlineStr">
        <is>
          <t>SUBSIDIADO</t>
        </is>
      </c>
      <c r="K6" s="2" t="inlineStr">
        <is>
          <t>INDIGENA</t>
        </is>
      </c>
      <c r="L6" s="2" t="inlineStr">
        <is>
          <t>Mujer Embarazada</t>
        </is>
      </c>
      <c r="M6" s="2" t="inlineStr">
        <is>
          <t>LA GUAJIRA</t>
        </is>
      </c>
      <c r="N6" s="2" t="n">
        <v>44035</v>
      </c>
      <c r="O6" s="2" t="inlineStr">
        <is>
          <t>RURAL</t>
        </is>
      </c>
      <c r="P6" s="2" t="inlineStr">
        <is>
          <t>WAYUU</t>
        </is>
      </c>
      <c r="Q6" s="2" t="inlineStr">
        <is>
          <t>rancheria cerrejon 1</t>
        </is>
      </c>
      <c r="R6" s="2" t="inlineStr">
        <is>
          <t>3185697911</t>
        </is>
      </c>
      <c r="S6" s="2" t="inlineStr">
        <is>
          <t>rancheria cerrejon 1</t>
        </is>
      </c>
      <c r="T6" s="2" t="inlineStr">
        <is>
          <t>basica primaria</t>
        </is>
      </c>
      <c r="U6" s="2" t="inlineStr">
        <is>
          <t>NO</t>
        </is>
      </c>
      <c r="V6" s="2" t="inlineStr">
        <is>
          <t>NO</t>
        </is>
      </c>
      <c r="W6" s="2" t="inlineStr">
        <is>
          <t>AMA DE CASA</t>
        </is>
      </c>
      <c r="X6" s="2" t="inlineStr">
        <is>
          <t>UNION LIBRE</t>
        </is>
      </c>
      <c r="Y6" s="2" t="inlineStr">
        <is>
          <t>NO APLICA</t>
        </is>
      </c>
      <c r="Z6" s="2" t="inlineStr">
        <is>
          <t>NO</t>
        </is>
      </c>
      <c r="AA6" s="2" t="inlineStr">
        <is>
          <t>NO</t>
        </is>
      </c>
      <c r="AB6" s="2" t="inlineStr">
        <is>
          <t>E.S.E HOSPITAL SAN RAFAEL DE ALBANIA</t>
        </is>
      </c>
      <c r="AC6" s="3" t="n">
        <v>45951</v>
      </c>
      <c r="AD6" s="3" t="n">
        <v>45951</v>
      </c>
      <c r="AE6" s="3" t="n">
        <v>45887</v>
      </c>
      <c r="AF6" s="5">
        <f>IFERROR(IF(AE6="","1845-01-01",AE6+280),"1845-01-01")</f>
        <v/>
      </c>
      <c r="AG6" s="4">
        <f>IFERROR(IF(AF6="",0,AF6-TODAY()),0)</f>
        <v/>
      </c>
      <c r="AH6" s="6">
        <f>IFERROR(IF(AG6="","SIN DATO",IF(AG6&lt;0,"Nacido",IF(AG6&lt;=7,"Semana de parto",IF(AG6&lt;=28,"Menos 4 sem","Pendiente")))),"SIN DATO")</f>
        <v/>
      </c>
      <c r="AI6" s="7">
        <f>IFERROR(IF(OR(AE6="",AD6=""),0,DATEDIF(AE6,AD6,"D")/7),0)</f>
        <v/>
      </c>
      <c r="AJ6" s="6">
        <f>IFERROR(IF(AI6="","SIN DATO",IF(AI6&lt;14,"1 Trim",IF(AI6&lt;28,"2 Trim","3 Trim"))),"SIN DATO")</f>
        <v/>
      </c>
      <c r="AK6" s="2" t="n">
        <v>2</v>
      </c>
      <c r="AL6" s="2" t="n">
        <v>1</v>
      </c>
      <c r="AM6" s="2" t="n">
        <v>0</v>
      </c>
      <c r="AN6" s="2" t="n">
        <v>0</v>
      </c>
      <c r="AO6" s="2" t="n">
        <v>0</v>
      </c>
      <c r="AP6" s="2" t="n">
        <v>1</v>
      </c>
      <c r="AQ6" s="2" t="inlineStr">
        <is>
          <t>NO</t>
        </is>
      </c>
      <c r="AR6" s="2" t="inlineStr">
        <is>
          <t>NO</t>
        </is>
      </c>
      <c r="AS6" s="2" t="inlineStr">
        <is>
          <t>No</t>
        </is>
      </c>
      <c r="AT6" s="2" t="inlineStr">
        <is>
          <t>No</t>
        </is>
      </c>
      <c r="AU6" s="2" t="inlineStr">
        <is>
          <t>No</t>
        </is>
      </c>
      <c r="AV6" s="2" t="inlineStr">
        <is>
          <t>NO</t>
        </is>
      </c>
      <c r="AW6" s="2" t="inlineStr">
        <is>
          <t>NO</t>
        </is>
      </c>
      <c r="AX6" s="2" t="inlineStr">
        <is>
          <t>NO</t>
        </is>
      </c>
      <c r="AY6" s="2" t="inlineStr">
        <is>
          <t>0</t>
        </is>
      </c>
      <c r="AZ6" s="2" t="n">
        <v>43.2</v>
      </c>
      <c r="BA6" s="2" t="n">
        <v>1.46</v>
      </c>
      <c r="BB6" s="7">
        <f>IFERROR(IF(OR(AZ6="",BA6=""),0,AZ6/BA6^2),0)</f>
        <v/>
      </c>
      <c r="BC6" s="6">
        <f>IFERROR(IF(BB6="","SIN DATO",IF(BB6&lt;18.5,"Bajo peso",IF(BB6&lt;25,"Peso normal",IF(BB6&lt;30,"Sobrepeso",IF(BB6&lt;35,"Obesidad grado 1",IF(BB6&lt;40,"Obesidad grado 2","Obesidad grado 3")))))),"SIN DATO")</f>
        <v/>
      </c>
      <c r="BD6" s="2" t="inlineStr">
        <is>
          <t>SI</t>
        </is>
      </c>
      <c r="BE6" s="2" t="inlineStr">
        <is>
          <t>SI</t>
        </is>
      </c>
      <c r="BF6" s="2" t="inlineStr">
        <is>
          <t>NO</t>
        </is>
      </c>
      <c r="BG6" s="2" t="inlineStr">
        <is>
          <t>NO</t>
        </is>
      </c>
      <c r="BH6" s="2" t="inlineStr">
        <is>
          <t>NO</t>
        </is>
      </c>
      <c r="BI6" s="2" t="inlineStr">
        <is>
          <t>NO</t>
        </is>
      </c>
      <c r="BJ6" s="2" t="inlineStr">
        <is>
          <t>CLASIFICACION DEL RIESGO ALTO</t>
        </is>
      </c>
      <c r="BK6" s="2" t="inlineStr">
        <is>
          <t>ARO POR RURAL DISPERSA</t>
        </is>
      </c>
      <c r="BL6" s="2" t="inlineStr">
        <is>
          <t>SIN DATO</t>
        </is>
      </c>
      <c r="BM6" s="2" t="inlineStr">
        <is>
          <t>SI</t>
        </is>
      </c>
      <c r="BN6" s="2" t="inlineStr">
        <is>
          <t>GINECOLOGIA</t>
        </is>
      </c>
      <c r="BO6" s="3" t="n">
        <v>45951</v>
      </c>
      <c r="BP6" s="4">
        <f>IFERROR(IF(DATEDIF(AE6,BO6,"D")/7&lt;14,"1 Trim",IF(DATEDIF(AE6,BO6,"D")/7&lt;28,"2 Trim","3 Trim")),0)</f>
        <v/>
      </c>
      <c r="BQ6" s="3" t="n">
        <v>45957</v>
      </c>
      <c r="BR6" s="2" t="inlineStr">
        <is>
          <t>NEGATIVO</t>
        </is>
      </c>
      <c r="BS6" s="4">
        <f>IFERROR(IF(DATEDIF(AE6,BQ6,"D")/7&lt;14,"1 Trim",IF(DATEDIF(AE6,BQ6,"D")/7&lt;28,"2 Trim","3 Trim")),0)</f>
        <v/>
      </c>
      <c r="BT6" s="3" t="n">
        <v>46018</v>
      </c>
      <c r="BU6" s="2" t="inlineStr">
        <is>
          <t>NEGATIVO</t>
        </is>
      </c>
      <c r="BV6" s="4">
        <f>IFERROR(IF(DATEDIF(AE6,BT6,"D")/7&lt;14,"1 Trim",IF(DATEDIF(AE6,BT6,"D")/7&lt;28,"2 Trim","3 Trim")),0)</f>
        <v/>
      </c>
      <c r="BW6" s="3" t="inlineStr">
        <is>
          <t>1845-01-01</t>
        </is>
      </c>
      <c r="BX6" s="2" t="inlineStr">
        <is>
          <t>SIN DATO</t>
        </is>
      </c>
      <c r="BY6" s="4">
        <f>IFERROR(IF(DATEDIF(AE6,BW6,"D")/7&lt;14,"1 Trim",IF(DATEDIF(AE6,BW6,"D")/7&lt;28,"2 Trim","3 Trim")),0)</f>
        <v/>
      </c>
      <c r="BZ6" s="3" t="n">
        <v>45957</v>
      </c>
      <c r="CA6" s="2" t="inlineStr">
        <is>
          <t>NEGATIVO</t>
        </is>
      </c>
      <c r="CB6" s="4">
        <f>IFERROR(IF(DATEDIF(AE6,BZ6,"D")/7&lt;14,"1 Trim",IF(DATEDIF(AE6,BZ6,"D")/7&lt;28,"2 Trim","3 Trim")),0)</f>
        <v/>
      </c>
      <c r="CC6" s="3" t="n">
        <v>46018</v>
      </c>
      <c r="CD6" s="2" t="inlineStr">
        <is>
          <t>NEGATIVO</t>
        </is>
      </c>
      <c r="CE6" s="4">
        <f>IFERROR(IF(DATEDIF(AE6,CC6,"D")/7&lt;14,"1 Trim",IF(DATEDIF(AE6,CC6,"D")/7&lt;28,"2 Trim","3 Trim")),0)</f>
        <v/>
      </c>
      <c r="CF6" s="3" t="inlineStr">
        <is>
          <t>1845-01-01</t>
        </is>
      </c>
      <c r="CG6" s="2" t="inlineStr">
        <is>
          <t>SIN DATO</t>
        </is>
      </c>
      <c r="CH6" s="4">
        <f>IFERROR(IF(DATEDIF(AE6,CF6,"D")/7&lt;14,"1 Trim",IF(DATEDIF(AE6,CF6,"D")/7&lt;28,"2 Trim","3 Trim")),0)</f>
        <v/>
      </c>
      <c r="CI6" s="3" t="inlineStr">
        <is>
          <t>1845-01-01</t>
        </is>
      </c>
      <c r="CJ6" s="2" t="inlineStr">
        <is>
          <t>SIN DATO</t>
        </is>
      </c>
      <c r="CK6" s="6">
        <f>IFERROR(IF(DATEDIF(AE6,CI6,"D")/7&lt;14,"1 Trim",IF(DATEDIF(AE6,CI6,"D")/7&lt;28,"2 Trim","3 Trim")),"SIN DATO")</f>
        <v/>
      </c>
      <c r="CL6" s="3" t="inlineStr">
        <is>
          <t>1845-01-01</t>
        </is>
      </c>
      <c r="CM6" s="4">
        <f>IFERROR(IF(DATEDIF(AE6,CL6,"D")/7&lt;14,"1 Trim",IF(DATEDIF(AE6,CL6,"D")/7&lt;27,"2 Trim","3 Trim")),0)</f>
        <v/>
      </c>
      <c r="CN6" s="3" t="inlineStr">
        <is>
          <t>1845-01-01</t>
        </is>
      </c>
      <c r="CO6" s="2" t="inlineStr">
        <is>
          <t>SIN DATO</t>
        </is>
      </c>
      <c r="CP6" s="3" t="inlineStr">
        <is>
          <t>1845-01-01</t>
        </is>
      </c>
      <c r="CQ6" s="3" t="inlineStr">
        <is>
          <t>1845-01-01</t>
        </is>
      </c>
      <c r="CR6" s="3" t="inlineStr">
        <is>
          <t>1845-01-01</t>
        </is>
      </c>
      <c r="CS6" s="3" t="inlineStr">
        <is>
          <t>1845-01-01</t>
        </is>
      </c>
      <c r="CT6" s="2" t="inlineStr">
        <is>
          <t>SIN DATO</t>
        </is>
      </c>
      <c r="CU6" s="3" t="n">
        <v>45957</v>
      </c>
      <c r="CV6" s="2" t="n">
        <v>19000327000000</v>
      </c>
      <c r="CW6" s="3" t="inlineStr">
        <is>
          <t>1845-01-01</t>
        </is>
      </c>
      <c r="CX6" s="2" t="n">
        <v>0</v>
      </c>
      <c r="CY6" s="3" t="n">
        <v>46018</v>
      </c>
      <c r="CZ6" s="2" t="n">
        <v>11.7</v>
      </c>
      <c r="DA6" s="2" t="inlineStr">
        <is>
          <t>O+</t>
        </is>
      </c>
      <c r="DB6" s="3" t="n">
        <v>46018</v>
      </c>
      <c r="DC6" s="2" t="inlineStr">
        <is>
          <t>NEGATIVO</t>
        </is>
      </c>
      <c r="DD6" s="3" t="n">
        <v>45957</v>
      </c>
      <c r="DE6" s="2" t="inlineStr">
        <is>
          <t>NEGATIVO</t>
        </is>
      </c>
      <c r="DF6" s="3" t="inlineStr">
        <is>
          <t>1845-01-01</t>
        </is>
      </c>
      <c r="DG6" s="2" t="inlineStr">
        <is>
          <t>SIN DATO</t>
        </is>
      </c>
      <c r="DH6" s="3" t="inlineStr">
        <is>
          <t>1845-01-01</t>
        </is>
      </c>
      <c r="DI6" s="2" t="inlineStr">
        <is>
          <t>SIN DATO</t>
        </is>
      </c>
      <c r="DJ6" s="3" t="inlineStr">
        <is>
          <t>1845-01-01</t>
        </is>
      </c>
      <c r="DK6" s="2" t="inlineStr">
        <is>
          <t>SIN DATO</t>
        </is>
      </c>
      <c r="DL6" s="3" t="inlineStr">
        <is>
          <t>1845-01-01</t>
        </is>
      </c>
      <c r="DM6" s="2" t="inlineStr">
        <is>
          <t>SIN DATO</t>
        </is>
      </c>
      <c r="DN6" s="3" t="inlineStr">
        <is>
          <t>1845-01-01</t>
        </is>
      </c>
      <c r="DO6" s="2" t="inlineStr">
        <is>
          <t>SIN DATO</t>
        </is>
      </c>
      <c r="DP6" s="3" t="inlineStr">
        <is>
          <t>1845-01-01</t>
        </is>
      </c>
      <c r="DQ6" s="3" t="inlineStr">
        <is>
          <t>1845-01-01</t>
        </is>
      </c>
      <c r="DR6" s="3" t="inlineStr">
        <is>
          <t>1845-01-01</t>
        </is>
      </c>
      <c r="DS6" s="3" t="n">
        <v>45951</v>
      </c>
      <c r="DT6" s="3" t="inlineStr">
        <is>
          <t>1845-01-01</t>
        </is>
      </c>
      <c r="DU6" s="3" t="inlineStr">
        <is>
          <t>1845-01-01</t>
        </is>
      </c>
      <c r="DV6" s="3" t="inlineStr">
        <is>
          <t>1845-01-01</t>
        </is>
      </c>
      <c r="DW6" s="3" t="inlineStr">
        <is>
          <t>1845-01-01</t>
        </is>
      </c>
      <c r="DX6" s="3" t="n">
        <v>46058</v>
      </c>
      <c r="DY6" s="3" t="n">
        <v>46058</v>
      </c>
      <c r="DZ6" s="3" t="inlineStr">
        <is>
          <t>1845-01-01</t>
        </is>
      </c>
      <c r="EA6" s="3" t="inlineStr">
        <is>
          <t>1845-01-01</t>
        </is>
      </c>
      <c r="EB6" s="3" t="n">
        <v>45951</v>
      </c>
      <c r="EC6" s="2" t="inlineStr">
        <is>
          <t>medico</t>
        </is>
      </c>
      <c r="ED6" s="3" t="n">
        <v>45981</v>
      </c>
      <c r="EE6" s="2" t="inlineStr">
        <is>
          <t>medico</t>
        </is>
      </c>
      <c r="EF6" s="3" t="n">
        <v>46058</v>
      </c>
      <c r="EG6" s="2" t="inlineStr">
        <is>
          <t>medico</t>
        </is>
      </c>
      <c r="EH6" s="3" t="inlineStr">
        <is>
          <t>1845-01-01</t>
        </is>
      </c>
      <c r="EI6" s="2" t="inlineStr">
        <is>
          <t>SIN DATO</t>
        </is>
      </c>
      <c r="EJ6" s="3" t="inlineStr">
        <is>
          <t>1845-01-01</t>
        </is>
      </c>
      <c r="EK6" s="2" t="inlineStr">
        <is>
          <t>SIN DATO</t>
        </is>
      </c>
      <c r="EL6" s="3" t="inlineStr">
        <is>
          <t>1845-01-01</t>
        </is>
      </c>
      <c r="EM6" s="2" t="inlineStr">
        <is>
          <t>SIN DATO</t>
        </is>
      </c>
      <c r="EN6" s="3" t="inlineStr">
        <is>
          <t>1845-01-01</t>
        </is>
      </c>
      <c r="EO6" s="2" t="inlineStr">
        <is>
          <t>SIN DATO</t>
        </is>
      </c>
      <c r="EP6" s="3" t="inlineStr">
        <is>
          <t>1845-01-01</t>
        </is>
      </c>
      <c r="EQ6" s="2" t="inlineStr">
        <is>
          <t>SIN DATO</t>
        </is>
      </c>
      <c r="ER6" s="3" t="inlineStr">
        <is>
          <t>1845-01-01</t>
        </is>
      </c>
      <c r="ES6" s="2" t="inlineStr">
        <is>
          <t>SIN DATO</t>
        </is>
      </c>
      <c r="ET6" s="4">
        <f>IFERROR(COUNTIF(EB6,"&gt;0")+COUNTIF(ED6,"&gt;0")+COUNTIF(EF6,"&gt;0")+COUNTIF(EH6,"&gt;0")+COUNTIF(EJ6,"&gt;0")+COUNTIF(EL6,"&gt;0")+COUNTIF(EN6,"&gt;0")+COUNTIF(EP6,"&gt;0")+COUNTIF(ER6,"&gt;0"),0)</f>
        <v/>
      </c>
      <c r="EU6" s="5">
        <f>IF(MAX(EB6,ED6,EF6,EH6,EJ6,EL6,EN6,EP6,ER6)=0,"1845-01-01",MAX(EB6,ED6,EF6,EH6,EJ6,EL6,EN6,EP6,ER6))</f>
        <v/>
      </c>
      <c r="EV6" s="4">
        <f>IF(OR(AE6="",EU6="1845-01-01"),0,IFERROR(DATEDIF(AE6,EU6,"D")/7,0))</f>
        <v/>
      </c>
      <c r="EW6" s="2" t="n">
        <v>52</v>
      </c>
      <c r="EX6" s="2" t="n">
        <v>1.46</v>
      </c>
      <c r="EY6" s="7">
        <f>IFERROR(IF(OR(EW6="",EX6=""),0,EW6/EX6^2),0)</f>
        <v/>
      </c>
      <c r="EZ6" s="2" t="inlineStr">
        <is>
          <t>0</t>
        </is>
      </c>
      <c r="FA6" s="3" t="n">
        <v>45951</v>
      </c>
      <c r="FB6" s="3" t="inlineStr">
        <is>
          <t>1845-01-01</t>
        </is>
      </c>
      <c r="FC6" s="3" t="inlineStr">
        <is>
          <t>1845-01-01</t>
        </is>
      </c>
      <c r="FD6" s="3" t="n">
        <v>45951</v>
      </c>
      <c r="FE6" s="3" t="n">
        <v>45951</v>
      </c>
      <c r="FF6" s="3" t="inlineStr">
        <is>
          <t>1845-01-01</t>
        </is>
      </c>
      <c r="FG6" s="2" t="inlineStr">
        <is>
          <t>SIN DATO</t>
        </is>
      </c>
      <c r="FH6" s="2" t="inlineStr">
        <is>
          <t>SIN DATO</t>
        </is>
      </c>
      <c r="FI6" s="3" t="inlineStr">
        <is>
          <t>1845-01-01</t>
        </is>
      </c>
      <c r="FJ6" s="2" t="n">
        <v>0</v>
      </c>
      <c r="FK6" s="2" t="inlineStr">
        <is>
          <t>SIN DATO</t>
        </is>
      </c>
      <c r="FL6" s="3" t="inlineStr">
        <is>
          <t>1845-01-01</t>
        </is>
      </c>
      <c r="FM6" s="2" t="inlineStr">
        <is>
          <t>SIN DATO</t>
        </is>
      </c>
      <c r="FN6" s="2" t="inlineStr">
        <is>
          <t>SIN DATO</t>
        </is>
      </c>
      <c r="FO6" s="2" t="n">
        <v>0</v>
      </c>
      <c r="FP6" s="2" t="inlineStr">
        <is>
          <t>SIN DATO</t>
        </is>
      </c>
      <c r="FQ6" s="2" t="inlineStr">
        <is>
          <t>SIN DATO</t>
        </is>
      </c>
      <c r="FR6" s="2" t="inlineStr">
        <is>
          <t>SIN DATO</t>
        </is>
      </c>
      <c r="FS6" s="2" t="inlineStr">
        <is>
          <t>NO</t>
        </is>
      </c>
      <c r="FT6" s="2" t="inlineStr">
        <is>
          <t>SIN DATO</t>
        </is>
      </c>
      <c r="FU6" s="3" t="inlineStr">
        <is>
          <t>1845-01-01</t>
        </is>
      </c>
      <c r="FV6" s="2" t="inlineStr">
        <is>
          <t>SIN DATO</t>
        </is>
      </c>
      <c r="FW6" s="2" t="inlineStr">
        <is>
          <t>SIN DATO</t>
        </is>
      </c>
      <c r="FX6" s="2" t="n">
        <v>0</v>
      </c>
      <c r="FY6" s="2" t="inlineStr">
        <is>
          <t>SIN DATO</t>
        </is>
      </c>
      <c r="FZ6" s="2" t="inlineStr">
        <is>
          <t>SIN DATO</t>
        </is>
      </c>
      <c r="GA6" s="2" t="n">
        <v>0</v>
      </c>
      <c r="GB6" s="2" t="inlineStr">
        <is>
          <t>SIN DATO</t>
        </is>
      </c>
      <c r="GC6" s="2" t="inlineStr">
        <is>
          <t>SIN DATO</t>
        </is>
      </c>
      <c r="GD6" s="2" t="inlineStr">
        <is>
          <t>SIN DATO</t>
        </is>
      </c>
      <c r="GE6" s="2" t="inlineStr">
        <is>
          <t>SIN DATO</t>
        </is>
      </c>
      <c r="GF6" s="2" t="inlineStr">
        <is>
          <t>SIN DATO</t>
        </is>
      </c>
      <c r="GG6" s="2" t="inlineStr">
        <is>
          <t>SIN DATO</t>
        </is>
      </c>
      <c r="GH6" s="2" t="inlineStr">
        <is>
          <t>SIN DATO</t>
        </is>
      </c>
      <c r="GI6" s="2" t="inlineStr">
        <is>
          <t>SIN DATO</t>
        </is>
      </c>
      <c r="GJ6" s="2" t="n">
        <v>0</v>
      </c>
      <c r="GK6" s="2" t="inlineStr">
        <is>
          <t>SIN DATO</t>
        </is>
      </c>
      <c r="GL6" s="2" t="inlineStr">
        <is>
          <t>SIN DATO</t>
        </is>
      </c>
      <c r="GM6" s="2" t="n">
        <v>0</v>
      </c>
      <c r="GN6" s="2" t="inlineStr">
        <is>
          <t>SIN DATO</t>
        </is>
      </c>
      <c r="GO6" s="2" t="inlineStr">
        <is>
          <t>SIN DATO</t>
        </is>
      </c>
      <c r="GP6" s="2" t="inlineStr">
        <is>
          <t>SIN DATO</t>
        </is>
      </c>
      <c r="GQ6" s="2" t="inlineStr">
        <is>
          <t>SIN DATO</t>
        </is>
      </c>
      <c r="GR6" s="2" t="inlineStr">
        <is>
          <t>SIN DATO</t>
        </is>
      </c>
      <c r="GS6" s="2" t="inlineStr">
        <is>
          <t>SIN DATO</t>
        </is>
      </c>
      <c r="GT6" s="2" t="inlineStr">
        <is>
          <t>SIN DATO</t>
        </is>
      </c>
      <c r="GU6" s="2" t="inlineStr">
        <is>
          <t>SIN DATO</t>
        </is>
      </c>
      <c r="GV6" s="2" t="inlineStr">
        <is>
          <t>SIN DATO</t>
        </is>
      </c>
      <c r="GW6" s="2" t="inlineStr">
        <is>
          <t>SIN DATO</t>
        </is>
      </c>
      <c r="GX6" s="3" t="inlineStr">
        <is>
          <t>1845-01-01</t>
        </is>
      </c>
      <c r="GY6" s="2" t="inlineStr">
        <is>
          <t>SIN DATO</t>
        </is>
      </c>
    </row>
    <row r="7">
      <c r="A7" s="2" t="inlineStr">
        <is>
          <t>TI</t>
        </is>
      </c>
      <c r="B7" s="2" t="inlineStr">
        <is>
          <t>1119414111</t>
        </is>
      </c>
      <c r="C7" s="2" t="inlineStr">
        <is>
          <t>EPIAYU</t>
        </is>
      </c>
      <c r="D7" s="2" t="inlineStr">
        <is>
          <t>EPIAYU</t>
        </is>
      </c>
      <c r="E7" s="2" t="inlineStr">
        <is>
          <t>YESICA</t>
        </is>
      </c>
      <c r="F7" s="2" t="inlineStr">
        <is>
          <t>DEL CARMEN</t>
        </is>
      </c>
      <c r="G7" s="3" t="n">
        <v>40106</v>
      </c>
      <c r="H7" s="4">
        <f>IFERROR(IF(G7="",0,DATEDIF(G7,TODAY(),"Y")),0)</f>
        <v/>
      </c>
      <c r="I7" s="2" t="inlineStr">
        <is>
          <t>FEMENINO</t>
        </is>
      </c>
      <c r="J7" s="2" t="inlineStr">
        <is>
          <t>SUBSIDIADO</t>
        </is>
      </c>
      <c r="K7" s="2" t="inlineStr">
        <is>
          <t>NINGUNAS DE LAS ANTERIORES</t>
        </is>
      </c>
      <c r="L7" s="2" t="inlineStr">
        <is>
          <t>Mujer Embarazada</t>
        </is>
      </c>
      <c r="M7" s="2" t="inlineStr">
        <is>
          <t>LA GUAJIRA</t>
        </is>
      </c>
      <c r="N7" s="2" t="n">
        <v>44035</v>
      </c>
      <c r="O7" s="2" t="inlineStr">
        <is>
          <t>RURAL</t>
        </is>
      </c>
      <c r="P7" s="2" t="inlineStr">
        <is>
          <t>SIN ETNIA</t>
        </is>
      </c>
      <c r="Q7" s="2" t="inlineStr">
        <is>
          <t>CAÑAGUATAMANA</t>
        </is>
      </c>
      <c r="R7" s="2" t="inlineStr">
        <is>
          <t>3218756257</t>
        </is>
      </c>
      <c r="S7" s="2" t="inlineStr">
        <is>
          <t>CAÑAGUATAMANA</t>
        </is>
      </c>
      <c r="T7" s="2" t="inlineStr">
        <is>
          <t>basica primaria</t>
        </is>
      </c>
      <c r="U7" s="2" t="inlineStr">
        <is>
          <t>NO</t>
        </is>
      </c>
      <c r="V7" s="2" t="inlineStr">
        <is>
          <t>NO</t>
        </is>
      </c>
      <c r="W7" s="2" t="inlineStr">
        <is>
          <t>AMA DE CASA</t>
        </is>
      </c>
      <c r="X7" s="2" t="inlineStr">
        <is>
          <t>UNION LIBRE</t>
        </is>
      </c>
      <c r="Y7" s="2" t="inlineStr">
        <is>
          <t>NO APLICA</t>
        </is>
      </c>
      <c r="Z7" s="2" t="inlineStr">
        <is>
          <t>NO</t>
        </is>
      </c>
      <c r="AA7" s="2" t="inlineStr">
        <is>
          <t>NO</t>
        </is>
      </c>
      <c r="AB7" s="2" t="inlineStr">
        <is>
          <t>E.S.E HOSPITAL SAN RAFAEL DE ALBANIA</t>
        </is>
      </c>
      <c r="AC7" s="3" t="n">
        <v>45994</v>
      </c>
      <c r="AD7" s="3" t="n">
        <v>45994</v>
      </c>
      <c r="AE7" s="3" t="n">
        <v>45824</v>
      </c>
      <c r="AF7" s="5">
        <f>IFERROR(IF(AE7="","1845-01-01",AE7+280),"1845-01-01")</f>
        <v/>
      </c>
      <c r="AG7" s="4">
        <f>IFERROR(IF(AF7="",0,AF7-TODAY()),0)</f>
        <v/>
      </c>
      <c r="AH7" s="6">
        <f>IFERROR(IF(AG7="","SIN DATO",IF(AG7&lt;0,"Nacido",IF(AG7&lt;=7,"Semana de parto",IF(AG7&lt;=28,"Menos 4 sem","Pendiente")))),"SIN DATO")</f>
        <v/>
      </c>
      <c r="AI7" s="7">
        <f>IFERROR(IF(OR(AE7="",AD7=""),0,DATEDIF(AE7,AD7,"D")/7),0)</f>
        <v/>
      </c>
      <c r="AJ7" s="6">
        <f>IFERROR(IF(AI7="","SIN DATO",IF(AI7&lt;14,"1 Trim",IF(AI7&lt;28,"2 Trim","3 Trim"))),"SIN DATO")</f>
        <v/>
      </c>
      <c r="AK7" s="2" t="n">
        <v>1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inlineStr">
        <is>
          <t>NO</t>
        </is>
      </c>
      <c r="AR7" s="2" t="inlineStr">
        <is>
          <t>NO</t>
        </is>
      </c>
      <c r="AS7" s="2" t="inlineStr">
        <is>
          <t>No</t>
        </is>
      </c>
      <c r="AT7" s="2" t="inlineStr">
        <is>
          <t>No</t>
        </is>
      </c>
      <c r="AU7" s="2" t="inlineStr">
        <is>
          <t>No</t>
        </is>
      </c>
      <c r="AV7" s="2" t="inlineStr">
        <is>
          <t>NO</t>
        </is>
      </c>
      <c r="AW7" s="2" t="inlineStr">
        <is>
          <t>NO</t>
        </is>
      </c>
      <c r="AX7" s="2" t="inlineStr">
        <is>
          <t>NO</t>
        </is>
      </c>
      <c r="AY7" s="2" t="inlineStr">
        <is>
          <t>0</t>
        </is>
      </c>
      <c r="AZ7" s="2" t="n">
        <v>46.5</v>
      </c>
      <c r="BA7" s="2" t="n">
        <v>1.45</v>
      </c>
      <c r="BB7" s="7">
        <f>IFERROR(IF(OR(AZ7="",BA7=""),0,AZ7/BA7^2),0)</f>
        <v/>
      </c>
      <c r="BC7" s="6">
        <f>IFERROR(IF(BB7="","SIN DATO",IF(BB7&lt;18.5,"Bajo peso",IF(BB7&lt;25,"Peso normal",IF(BB7&lt;30,"Sobrepeso",IF(BB7&lt;35,"Obesidad grado 1",IF(BB7&lt;40,"Obesidad grado 2","Obesidad grado 3")))))),"SIN DATO")</f>
        <v/>
      </c>
      <c r="BD7" s="2" t="inlineStr">
        <is>
          <t>SI</t>
        </is>
      </c>
      <c r="BE7" s="2" t="inlineStr">
        <is>
          <t>SI</t>
        </is>
      </c>
      <c r="BF7" s="2" t="inlineStr">
        <is>
          <t>NO</t>
        </is>
      </c>
      <c r="BG7" s="2" t="inlineStr">
        <is>
          <t>NO</t>
        </is>
      </c>
      <c r="BH7" s="2" t="inlineStr">
        <is>
          <t>NO</t>
        </is>
      </c>
      <c r="BI7" s="2" t="inlineStr">
        <is>
          <t>NO</t>
        </is>
      </c>
      <c r="BJ7" s="2" t="inlineStr">
        <is>
          <t>CLASIFICACION DEL RIESGO ALTO</t>
        </is>
      </c>
      <c r="BK7" s="2" t="inlineStr">
        <is>
          <t>ARO POR PRIMIGESTANTE+ARO POR EDAD ADOLESCENTE+ARO POR ETNIA WAYU+ARO POR RURAL DISPERSA+ARO POR INICIO TARDIO DE CONTROLES PRENATALES+ARO POR INSUFICIENTES CONTROLES PRENATALES PARA EDAD GESTACIONAL+MODERADO RIESGO BIOSICOSOCIAL+RIESGO BAJO TROMBOEMBOLICO+RIESGO BAJO DE HEMORRAGIA POSPARTO.</t>
        </is>
      </c>
      <c r="BL7" s="2" t="inlineStr">
        <is>
          <t>SIN DATO</t>
        </is>
      </c>
      <c r="BM7" s="2" t="inlineStr">
        <is>
          <t>SI</t>
        </is>
      </c>
      <c r="BN7" s="2" t="inlineStr">
        <is>
          <t>GINECOLOGIA</t>
        </is>
      </c>
      <c r="BO7" s="3" t="n">
        <v>45994</v>
      </c>
      <c r="BP7" s="4">
        <f>IFERROR(IF(DATEDIF(AE7,BO7,"D")/7&lt;14,"1 Trim",IF(DATEDIF(AE7,BO7,"D")/7&lt;28,"2 Trim","3 Trim")),0)</f>
        <v/>
      </c>
      <c r="BQ7" s="3" t="inlineStr">
        <is>
          <t>1845-01-01</t>
        </is>
      </c>
      <c r="BR7" s="2" t="inlineStr">
        <is>
          <t>SIN DATO</t>
        </is>
      </c>
      <c r="BS7" s="4">
        <f>IFERROR(IF(DATEDIF(AE7,BQ7,"D")/7&lt;14,"1 Trim",IF(DATEDIF(AE7,BQ7,"D")/7&lt;28,"2 Trim","3 Trim")),0)</f>
        <v/>
      </c>
      <c r="BT7" s="3" t="n">
        <v>46003</v>
      </c>
      <c r="BU7" s="2" t="inlineStr">
        <is>
          <t>NEGATIVO</t>
        </is>
      </c>
      <c r="BV7" s="4">
        <f>IFERROR(IF(DATEDIF(AE7,BT7,"D")/7&lt;14,"1 Trim",IF(DATEDIF(AE7,BT7,"D")/7&lt;28,"2 Trim","3 Trim")),0)</f>
        <v/>
      </c>
      <c r="BW7" s="3" t="inlineStr">
        <is>
          <t>1845-01-01</t>
        </is>
      </c>
      <c r="BX7" s="2" t="inlineStr">
        <is>
          <t>SIN DATO</t>
        </is>
      </c>
      <c r="BY7" s="4">
        <f>IFERROR(IF(DATEDIF(AE7,BW7,"D")/7&lt;14,"1 Trim",IF(DATEDIF(AE7,BW7,"D")/7&lt;28,"2 Trim","3 Trim")),0)</f>
        <v/>
      </c>
      <c r="BZ7" s="3" t="inlineStr">
        <is>
          <t>1845-01-01</t>
        </is>
      </c>
      <c r="CA7" s="2" t="inlineStr">
        <is>
          <t>SIN DATO</t>
        </is>
      </c>
      <c r="CB7" s="4">
        <f>IFERROR(IF(DATEDIF(AE7,BZ7,"D")/7&lt;14,"1 Trim",IF(DATEDIF(AE7,BZ7,"D")/7&lt;28,"2 Trim","3 Trim")),0)</f>
        <v/>
      </c>
      <c r="CC7" s="3" t="n">
        <v>46003</v>
      </c>
      <c r="CD7" s="2" t="inlineStr">
        <is>
          <t>NEGATIVO</t>
        </is>
      </c>
      <c r="CE7" s="4">
        <f>IFERROR(IF(DATEDIF(AE7,CC7,"D")/7&lt;14,"1 Trim",IF(DATEDIF(AE7,CC7,"D")/7&lt;28,"2 Trim","3 Trim")),0)</f>
        <v/>
      </c>
      <c r="CF7" s="3" t="inlineStr">
        <is>
          <t>1845-01-01</t>
        </is>
      </c>
      <c r="CG7" s="2" t="inlineStr">
        <is>
          <t>SIN DATO</t>
        </is>
      </c>
      <c r="CH7" s="4">
        <f>IFERROR(IF(DATEDIF(AE7,CF7,"D")/7&lt;14,"1 Trim",IF(DATEDIF(AE7,CF7,"D")/7&lt;28,"2 Trim","3 Trim")),0)</f>
        <v/>
      </c>
      <c r="CI7" s="3" t="inlineStr">
        <is>
          <t>1845-01-01</t>
        </is>
      </c>
      <c r="CJ7" s="2" t="inlineStr">
        <is>
          <t>SIN DATO</t>
        </is>
      </c>
      <c r="CK7" s="6">
        <f>IFERROR(IF(DATEDIF(AE7,CI7,"D")/7&lt;14,"1 Trim",IF(DATEDIF(AE7,CI7,"D")/7&lt;28,"2 Trim","3 Trim")),"SIN DATO")</f>
        <v/>
      </c>
      <c r="CL7" s="3" t="inlineStr">
        <is>
          <t>1845-01-01</t>
        </is>
      </c>
      <c r="CM7" s="4">
        <f>IFERROR(IF(DATEDIF(AE7,CL7,"D")/7&lt;14,"1 Trim",IF(DATEDIF(AE7,CL7,"D")/7&lt;27,"2 Trim","3 Trim")),0)</f>
        <v/>
      </c>
      <c r="CN7" s="3" t="inlineStr">
        <is>
          <t>1845-01-01</t>
        </is>
      </c>
      <c r="CO7" s="2" t="inlineStr">
        <is>
          <t>SIN DATO</t>
        </is>
      </c>
      <c r="CP7" s="3" t="inlineStr">
        <is>
          <t>1845-01-01</t>
        </is>
      </c>
      <c r="CQ7" s="3" t="inlineStr">
        <is>
          <t>1845-01-01</t>
        </is>
      </c>
      <c r="CR7" s="3" t="inlineStr">
        <is>
          <t>1845-01-01</t>
        </is>
      </c>
      <c r="CS7" s="3" t="n">
        <v>46003</v>
      </c>
      <c r="CT7" s="2" t="inlineStr">
        <is>
          <t>NEGATIVO</t>
        </is>
      </c>
      <c r="CU7" s="3" t="inlineStr">
        <is>
          <t>1845-01-01</t>
        </is>
      </c>
      <c r="CV7" s="2" t="n">
        <v>0</v>
      </c>
      <c r="CW7" s="3" t="inlineStr">
        <is>
          <t>1845-01-01</t>
        </is>
      </c>
      <c r="CX7" s="2" t="n">
        <v>0</v>
      </c>
      <c r="CY7" s="3" t="n">
        <v>46070</v>
      </c>
      <c r="CZ7" s="2" t="n">
        <v>10.2</v>
      </c>
      <c r="DA7" s="2" t="inlineStr">
        <is>
          <t>O+</t>
        </is>
      </c>
      <c r="DB7" s="3" t="n">
        <v>46003</v>
      </c>
      <c r="DC7" s="2" t="inlineStr">
        <is>
          <t>NEGATIVO</t>
        </is>
      </c>
      <c r="DD7" s="3" t="n">
        <v>46003</v>
      </c>
      <c r="DE7" s="2" t="inlineStr">
        <is>
          <t>NEGATIVO</t>
        </is>
      </c>
      <c r="DF7" s="3" t="inlineStr">
        <is>
          <t>1845-01-01</t>
        </is>
      </c>
      <c r="DG7" s="2" t="inlineStr">
        <is>
          <t>SIN DATO</t>
        </is>
      </c>
      <c r="DH7" s="3" t="inlineStr">
        <is>
          <t>1845-01-01</t>
        </is>
      </c>
      <c r="DI7" s="2" t="inlineStr">
        <is>
          <t>SIN DATO</t>
        </is>
      </c>
      <c r="DJ7" s="3" t="inlineStr">
        <is>
          <t>1845-01-01</t>
        </is>
      </c>
      <c r="DK7" s="2" t="inlineStr">
        <is>
          <t>SIN DATO</t>
        </is>
      </c>
      <c r="DL7" s="3" t="n">
        <v>46003</v>
      </c>
      <c r="DM7" s="2" t="inlineStr">
        <is>
          <t>NEGATIVO</t>
        </is>
      </c>
      <c r="DN7" s="3" t="inlineStr">
        <is>
          <t>1845-01-01</t>
        </is>
      </c>
      <c r="DO7" s="2" t="inlineStr">
        <is>
          <t>SIN DATO</t>
        </is>
      </c>
      <c r="DP7" s="3" t="n">
        <v>45959</v>
      </c>
      <c r="DQ7" s="3" t="n">
        <v>45959</v>
      </c>
      <c r="DR7" s="3" t="n">
        <v>46035</v>
      </c>
      <c r="DS7" s="3" t="n">
        <v>45994</v>
      </c>
      <c r="DT7" s="3" t="inlineStr">
        <is>
          <t>1845-01-01</t>
        </is>
      </c>
      <c r="DU7" s="3" t="n">
        <v>46069</v>
      </c>
      <c r="DV7" s="3" t="inlineStr">
        <is>
          <t>1845-01-01</t>
        </is>
      </c>
      <c r="DW7" s="3" t="inlineStr">
        <is>
          <t>1845-01-01</t>
        </is>
      </c>
      <c r="DX7" s="3" t="n">
        <v>46072</v>
      </c>
      <c r="DY7" s="3" t="n">
        <v>46072</v>
      </c>
      <c r="DZ7" s="3" t="inlineStr">
        <is>
          <t>1845-01-01</t>
        </is>
      </c>
      <c r="EA7" s="3" t="inlineStr">
        <is>
          <t>1845-01-01</t>
        </is>
      </c>
      <c r="EB7" s="3" t="n">
        <v>45994</v>
      </c>
      <c r="EC7" s="2" t="inlineStr">
        <is>
          <t>medico</t>
        </is>
      </c>
      <c r="ED7" s="3" t="n">
        <v>46035</v>
      </c>
      <c r="EE7" s="2" t="inlineStr">
        <is>
          <t>medico</t>
        </is>
      </c>
      <c r="EF7" s="3" t="n">
        <v>46072</v>
      </c>
      <c r="EG7" s="2" t="inlineStr">
        <is>
          <t>medico</t>
        </is>
      </c>
      <c r="EH7" s="3" t="inlineStr">
        <is>
          <t>1845-01-01</t>
        </is>
      </c>
      <c r="EI7" s="2" t="inlineStr">
        <is>
          <t>SIN DATO</t>
        </is>
      </c>
      <c r="EJ7" s="3" t="inlineStr">
        <is>
          <t>1845-01-01</t>
        </is>
      </c>
      <c r="EK7" s="2" t="inlineStr">
        <is>
          <t>SIN DATO</t>
        </is>
      </c>
      <c r="EL7" s="3" t="inlineStr">
        <is>
          <t>1845-01-01</t>
        </is>
      </c>
      <c r="EM7" s="2" t="inlineStr">
        <is>
          <t>SIN DATO</t>
        </is>
      </c>
      <c r="EN7" s="3" t="inlineStr">
        <is>
          <t>1845-01-01</t>
        </is>
      </c>
      <c r="EO7" s="2" t="inlineStr">
        <is>
          <t>SIN DATO</t>
        </is>
      </c>
      <c r="EP7" s="3" t="inlineStr">
        <is>
          <t>1845-01-01</t>
        </is>
      </c>
      <c r="EQ7" s="2" t="inlineStr">
        <is>
          <t>SIN DATO</t>
        </is>
      </c>
      <c r="ER7" s="3" t="inlineStr">
        <is>
          <t>1845-01-01</t>
        </is>
      </c>
      <c r="ES7" s="2" t="inlineStr">
        <is>
          <t>SIN DATO</t>
        </is>
      </c>
      <c r="ET7" s="4">
        <f>IFERROR(COUNTIF(EB7,"&gt;0")+COUNTIF(ED7,"&gt;0")+COUNTIF(EF7,"&gt;0")+COUNTIF(EH7,"&gt;0")+COUNTIF(EJ7,"&gt;0")+COUNTIF(EL7,"&gt;0")+COUNTIF(EN7,"&gt;0")+COUNTIF(EP7,"&gt;0")+COUNTIF(ER7,"&gt;0"),0)</f>
        <v/>
      </c>
      <c r="EU7" s="5">
        <f>IF(MAX(EB7,ED7,EF7,EH7,EJ7,EL7,EN7,EP7,ER7)=0,"1845-01-01",MAX(EB7,ED7,EF7,EH7,EJ7,EL7,EN7,EP7,ER7))</f>
        <v/>
      </c>
      <c r="EV7" s="4">
        <f>IF(OR(AE7="",EU7="1845-01-01"),0,IFERROR(DATEDIF(AE7,EU7,"D")/7,0))</f>
        <v/>
      </c>
      <c r="EW7" s="2" t="n">
        <v>50</v>
      </c>
      <c r="EX7" s="2" t="n">
        <v>1.54</v>
      </c>
      <c r="EY7" s="7">
        <f>IFERROR(IF(OR(EW7="",EX7=""),0,EW7/EX7^2),0)</f>
        <v/>
      </c>
      <c r="EZ7" s="2" t="inlineStr">
        <is>
          <t>0</t>
        </is>
      </c>
      <c r="FA7" s="3" t="n">
        <v>45994</v>
      </c>
      <c r="FB7" s="3" t="inlineStr">
        <is>
          <t>1845-01-01</t>
        </is>
      </c>
      <c r="FC7" s="3" t="inlineStr">
        <is>
          <t>1845-01-01</t>
        </is>
      </c>
      <c r="FD7" s="3" t="n">
        <v>45994</v>
      </c>
      <c r="FE7" s="3" t="n">
        <v>45994</v>
      </c>
      <c r="FF7" s="3" t="inlineStr">
        <is>
          <t>1845-01-01</t>
        </is>
      </c>
      <c r="FG7" s="2" t="inlineStr">
        <is>
          <t>SIN DATO</t>
        </is>
      </c>
      <c r="FH7" s="2" t="inlineStr">
        <is>
          <t>SIN DATO</t>
        </is>
      </c>
      <c r="FI7" s="3" t="inlineStr">
        <is>
          <t>1845-01-01</t>
        </is>
      </c>
      <c r="FJ7" s="2" t="n">
        <v>0</v>
      </c>
      <c r="FK7" s="2" t="inlineStr">
        <is>
          <t>SIN DATO</t>
        </is>
      </c>
      <c r="FL7" s="3" t="inlineStr">
        <is>
          <t>1845-01-01</t>
        </is>
      </c>
      <c r="FM7" s="2" t="inlineStr">
        <is>
          <t>SIN DATO</t>
        </is>
      </c>
      <c r="FN7" s="2" t="inlineStr">
        <is>
          <t>SIN DATO</t>
        </is>
      </c>
      <c r="FO7" s="2" t="n">
        <v>0</v>
      </c>
      <c r="FP7" s="2" t="inlineStr">
        <is>
          <t>SIN DATO</t>
        </is>
      </c>
      <c r="FQ7" s="2" t="inlineStr">
        <is>
          <t>SIN DATO</t>
        </is>
      </c>
      <c r="FR7" s="2" t="inlineStr">
        <is>
          <t>SIN DATO</t>
        </is>
      </c>
      <c r="FS7" s="2" t="inlineStr">
        <is>
          <t>NO</t>
        </is>
      </c>
      <c r="FT7" s="2" t="inlineStr">
        <is>
          <t>SIN DATO</t>
        </is>
      </c>
      <c r="FU7" s="3" t="inlineStr">
        <is>
          <t>1845-01-01</t>
        </is>
      </c>
      <c r="FV7" s="2" t="inlineStr">
        <is>
          <t>SIN DATO</t>
        </is>
      </c>
      <c r="FW7" s="2" t="inlineStr">
        <is>
          <t>SIN DATO</t>
        </is>
      </c>
      <c r="FX7" s="2" t="n">
        <v>0</v>
      </c>
      <c r="FY7" s="2" t="inlineStr">
        <is>
          <t>SIN DATO</t>
        </is>
      </c>
      <c r="FZ7" s="2" t="inlineStr">
        <is>
          <t>SIN DATO</t>
        </is>
      </c>
      <c r="GA7" s="2" t="n">
        <v>0</v>
      </c>
      <c r="GB7" s="2" t="inlineStr">
        <is>
          <t>SIN DATO</t>
        </is>
      </c>
      <c r="GC7" s="2" t="inlineStr">
        <is>
          <t>SIN DATO</t>
        </is>
      </c>
      <c r="GD7" s="2" t="inlineStr">
        <is>
          <t>SIN DATO</t>
        </is>
      </c>
      <c r="GE7" s="2" t="inlineStr">
        <is>
          <t>SIN DATO</t>
        </is>
      </c>
      <c r="GF7" s="2" t="inlineStr">
        <is>
          <t>SIN DATO</t>
        </is>
      </c>
      <c r="GG7" s="2" t="inlineStr">
        <is>
          <t>SIN DATO</t>
        </is>
      </c>
      <c r="GH7" s="2" t="inlineStr">
        <is>
          <t>SIN DATO</t>
        </is>
      </c>
      <c r="GI7" s="2" t="inlineStr">
        <is>
          <t>SIN DATO</t>
        </is>
      </c>
      <c r="GJ7" s="2" t="n">
        <v>0</v>
      </c>
      <c r="GK7" s="2" t="inlineStr">
        <is>
          <t>SIN DATO</t>
        </is>
      </c>
      <c r="GL7" s="2" t="inlineStr">
        <is>
          <t>SIN DATO</t>
        </is>
      </c>
      <c r="GM7" s="2" t="n">
        <v>0</v>
      </c>
      <c r="GN7" s="2" t="inlineStr">
        <is>
          <t>SIN DATO</t>
        </is>
      </c>
      <c r="GO7" s="2" t="inlineStr">
        <is>
          <t>SIN DATO</t>
        </is>
      </c>
      <c r="GP7" s="2" t="inlineStr">
        <is>
          <t>SIN DATO</t>
        </is>
      </c>
      <c r="GQ7" s="2" t="inlineStr">
        <is>
          <t>SIN DATO</t>
        </is>
      </c>
      <c r="GR7" s="2" t="inlineStr">
        <is>
          <t>SIN DATO</t>
        </is>
      </c>
      <c r="GS7" s="2" t="inlineStr">
        <is>
          <t>SIN DATO</t>
        </is>
      </c>
      <c r="GT7" s="2" t="inlineStr">
        <is>
          <t>SIN DATO</t>
        </is>
      </c>
      <c r="GU7" s="2" t="inlineStr">
        <is>
          <t>SIN DATO</t>
        </is>
      </c>
      <c r="GV7" s="2" t="inlineStr">
        <is>
          <t>SIN DATO</t>
        </is>
      </c>
      <c r="GW7" s="2" t="inlineStr">
        <is>
          <t>SIN DATO</t>
        </is>
      </c>
      <c r="GX7" s="3" t="inlineStr">
        <is>
          <t>1845-01-01</t>
        </is>
      </c>
      <c r="GY7" s="2" t="inlineStr">
        <is>
          <t>SIN DATO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2026-08-15T22:52:48Z</dcterms:created>
  <dcterms:modified xsi:type="dcterms:W3CDTF">2026-08-15T22:52:48Z</dcterms:modified>
</cp:coreProperties>
</file>